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21315" windowHeight="8775"/>
  </bookViews>
  <sheets>
    <sheet name="usagers" sheetId="1" r:id="rId1"/>
  </sheets>
  <definedNames>
    <definedName name="_xlnm._FilterDatabase" localSheetId="0" hidden="1">usagers!$A$1:$A$18295</definedName>
  </definedNames>
  <calcPr calcId="144525"/>
</workbook>
</file>

<file path=xl/calcChain.xml><?xml version="1.0" encoding="utf-8"?>
<calcChain xmlns="http://schemas.openxmlformats.org/spreadsheetml/2006/main">
  <c r="F9" i="1" l="1"/>
  <c r="G17591" i="1" l="1"/>
  <c r="G16888" i="1"/>
  <c r="G16185" i="1"/>
  <c r="G15482" i="1"/>
  <c r="G14779" i="1"/>
  <c r="G14076" i="1"/>
  <c r="G13373" i="1"/>
  <c r="G12670" i="1"/>
  <c r="G11967" i="1"/>
  <c r="G11264" i="1"/>
  <c r="G10561" i="1"/>
  <c r="G9858" i="1"/>
  <c r="G9155" i="1"/>
  <c r="G8452" i="1"/>
  <c r="G7749" i="1"/>
  <c r="G7046" i="1"/>
  <c r="G6343" i="1"/>
  <c r="G5640" i="1"/>
  <c r="G4937" i="1"/>
  <c r="G4234" i="1"/>
  <c r="G3531" i="1"/>
  <c r="G2828" i="1"/>
  <c r="G2125" i="1"/>
  <c r="G1422" i="1"/>
  <c r="G18295" i="1"/>
</calcChain>
</file>

<file path=xl/sharedStrings.xml><?xml version="1.0" encoding="utf-8"?>
<sst xmlns="http://schemas.openxmlformats.org/spreadsheetml/2006/main" count="244" uniqueCount="63">
  <si>
    <t>Hochon</t>
  </si>
  <si>
    <t>Audine</t>
  </si>
  <si>
    <t>Rouana</t>
  </si>
  <si>
    <t>Hamalibou</t>
  </si>
  <si>
    <t>Céhef</t>
  </si>
  <si>
    <t>Galls</t>
  </si>
  <si>
    <t>Houda</t>
  </si>
  <si>
    <t>Tatouille</t>
  </si>
  <si>
    <t>Sille</t>
  </si>
  <si>
    <t>Bernard</t>
  </si>
  <si>
    <t>Maurice</t>
  </si>
  <si>
    <t>Bonbeur</t>
  </si>
  <si>
    <t>Hèresse</t>
  </si>
  <si>
    <t>Noix</t>
  </si>
  <si>
    <t>Gature</t>
  </si>
  <si>
    <t>De MontéCarlo</t>
  </si>
  <si>
    <t>Hénéré</t>
  </si>
  <si>
    <t>Sansasse</t>
  </si>
  <si>
    <t>Thine</t>
  </si>
  <si>
    <t>Solo</t>
  </si>
  <si>
    <t>Jet</t>
  </si>
  <si>
    <t>Braltar</t>
  </si>
  <si>
    <t>Douche</t>
  </si>
  <si>
    <t>Sarbaque</t>
  </si>
  <si>
    <t>Lile</t>
  </si>
  <si>
    <t>Doeuf</t>
  </si>
  <si>
    <t>Niomme</t>
  </si>
  <si>
    <t>Honnête</t>
  </si>
  <si>
    <t>Tomette</t>
  </si>
  <si>
    <t>Dagin</t>
  </si>
  <si>
    <t>NB Instr.</t>
  </si>
  <si>
    <t>NB dossiers par instructrice</t>
  </si>
  <si>
    <t>Répartition alphabétique</t>
  </si>
  <si>
    <t xml:space="preserve"> Résultats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</si>
  <si>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</si>
  <si>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</si>
  <si>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</si>
  <si>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</si>
  <si>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</si>
  <si>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</si>
  <si>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</si>
  <si>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</si>
  <si>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</si>
  <si>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</si>
  <si>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</si>
  <si>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</si>
  <si>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</si>
  <si>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</si>
  <si>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</si>
  <si>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</si>
  <si>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</si>
  <si>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</si>
  <si>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</si>
  <si>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</si>
  <si>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</si>
  <si>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</si>
  <si>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</si>
  <si>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</si>
  <si>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</si>
  <si>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Quantités par Instrcutrice</t>
  </si>
  <si>
    <t>AAAA</t>
  </si>
  <si>
    <t>Arrangements alphabétiques 1</t>
  </si>
  <si>
    <t>Arrangements alphabétiques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</si>
</sst>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1E1E32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5" borderId="10" xfId="0" applyFill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A18295"/>
  <sheetViews>
    <sheetView tabSelected="1" topLeftCell="D2" workbookViewId="0">
      <selection activeCell="G27" sqref="G27"/>
    </sheetView>
  </sheetViews>
  <sheetFormatPr baseColWidth="10" defaultRowHeight="15" x14ac:dyDescent="0.25"/>
  <cols>
    <col min="1" max="5" width="11.42578125" style="1"/>
    <col min="6" max="7" width="18.85546875" style="1" customWidth="1"/>
    <col min="8" max="8" width="16.7109375" style="1" customWidth="1"/>
    <col min="9" max="16384" width="11.42578125" style="1"/>
  </cols>
  <sheetData>
    <row r="1" spans="1:9" ht="45" x14ac:dyDescent="0.25">
      <c r="A1" s="1" t="s">
        <v>0</v>
      </c>
      <c r="C1" s="9" t="s">
        <v>30</v>
      </c>
      <c r="D1" s="10" t="s">
        <v>31</v>
      </c>
      <c r="F1" s="10" t="s">
        <v>59</v>
      </c>
      <c r="G1" s="10" t="s">
        <v>32</v>
      </c>
    </row>
    <row r="2" spans="1:9" x14ac:dyDescent="0.25">
      <c r="A2" s="1" t="s">
        <v>1</v>
      </c>
      <c r="C2" s="8"/>
      <c r="D2" s="3"/>
      <c r="F2" s="2"/>
      <c r="G2" s="4"/>
    </row>
    <row r="3" spans="1:9" x14ac:dyDescent="0.25">
      <c r="A3" s="1" t="s">
        <v>2</v>
      </c>
      <c r="C3" s="7"/>
      <c r="F3" s="2"/>
      <c r="G3" s="4"/>
    </row>
    <row r="4" spans="1:9" x14ac:dyDescent="0.25">
      <c r="A4" s="1" t="s">
        <v>3</v>
      </c>
      <c r="F4" s="2"/>
      <c r="G4" s="4"/>
    </row>
    <row r="5" spans="1:9" x14ac:dyDescent="0.25">
      <c r="A5" s="1" t="s">
        <v>4</v>
      </c>
      <c r="F5" s="2"/>
      <c r="G5" s="4"/>
    </row>
    <row r="6" spans="1:9" x14ac:dyDescent="0.25">
      <c r="A6" s="1" t="s">
        <v>5</v>
      </c>
      <c r="F6" s="2"/>
      <c r="G6" s="2"/>
    </row>
    <row r="7" spans="1:9" x14ac:dyDescent="0.25">
      <c r="A7" s="1" t="s">
        <v>6</v>
      </c>
      <c r="F7" s="2"/>
      <c r="G7" s="2"/>
    </row>
    <row r="8" spans="1:9" x14ac:dyDescent="0.25">
      <c r="A8" s="1" t="s">
        <v>7</v>
      </c>
      <c r="F8" s="2"/>
      <c r="G8" s="2"/>
    </row>
    <row r="9" spans="1:9" x14ac:dyDescent="0.25">
      <c r="A9" s="1" t="s">
        <v>8</v>
      </c>
      <c r="F9" s="1">
        <f>SUM(F2:F8)</f>
        <v>0</v>
      </c>
    </row>
    <row r="10" spans="1:9" x14ac:dyDescent="0.25">
      <c r="A10" s="1" t="s">
        <v>9</v>
      </c>
    </row>
    <row r="11" spans="1:9" x14ac:dyDescent="0.25">
      <c r="A11" s="1" t="s">
        <v>10</v>
      </c>
    </row>
    <row r="12" spans="1:9" x14ac:dyDescent="0.25">
      <c r="A12" s="1" t="s">
        <v>11</v>
      </c>
    </row>
    <row r="13" spans="1:9" x14ac:dyDescent="0.25">
      <c r="A13" s="1" t="s">
        <v>12</v>
      </c>
    </row>
    <row r="14" spans="1:9" x14ac:dyDescent="0.25">
      <c r="A14" s="1" t="s">
        <v>13</v>
      </c>
    </row>
    <row r="15" spans="1:9" ht="30" x14ac:dyDescent="0.25">
      <c r="A15" s="1" t="s">
        <v>14</v>
      </c>
      <c r="F15" s="10" t="s">
        <v>61</v>
      </c>
      <c r="G15" s="9" t="s">
        <v>33</v>
      </c>
      <c r="H15" s="10" t="s">
        <v>62</v>
      </c>
      <c r="I15" s="9" t="s">
        <v>33</v>
      </c>
    </row>
    <row r="16" spans="1:9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s="1" t="s">
        <v>17</v>
      </c>
    </row>
    <row r="19" spans="1:1" x14ac:dyDescent="0.25">
      <c r="A19" s="1" t="s">
        <v>18</v>
      </c>
    </row>
    <row r="20" spans="1:1" x14ac:dyDescent="0.25">
      <c r="A20" s="1" t="s">
        <v>19</v>
      </c>
    </row>
    <row r="21" spans="1:1" x14ac:dyDescent="0.25">
      <c r="A21" s="1" t="s">
        <v>20</v>
      </c>
    </row>
    <row r="22" spans="1:1" x14ac:dyDescent="0.25">
      <c r="A22" s="1" t="s">
        <v>21</v>
      </c>
    </row>
    <row r="23" spans="1:1" x14ac:dyDescent="0.25">
      <c r="A23" s="1" t="s">
        <v>22</v>
      </c>
    </row>
    <row r="24" spans="1:1" x14ac:dyDescent="0.25">
      <c r="A24" s="1" t="s">
        <v>23</v>
      </c>
    </row>
    <row r="25" spans="1:1" x14ac:dyDescent="0.25">
      <c r="A25" s="1" t="s">
        <v>24</v>
      </c>
    </row>
    <row r="26" spans="1:1" x14ac:dyDescent="0.25">
      <c r="A26" s="1" t="s">
        <v>25</v>
      </c>
    </row>
    <row r="27" spans="1:1" x14ac:dyDescent="0.25">
      <c r="A27" s="1" t="s">
        <v>26</v>
      </c>
    </row>
    <row r="28" spans="1:1" x14ac:dyDescent="0.25">
      <c r="A28" s="1" t="s">
        <v>27</v>
      </c>
    </row>
    <row r="29" spans="1:1" x14ac:dyDescent="0.25">
      <c r="A29" s="1" t="s">
        <v>28</v>
      </c>
    </row>
    <row r="30" spans="1:1" x14ac:dyDescent="0.25">
      <c r="A30" s="1" t="s">
        <v>29</v>
      </c>
    </row>
    <row r="31" spans="1:1" x14ac:dyDescent="0.25">
      <c r="A31" s="1" t="s">
        <v>0</v>
      </c>
    </row>
    <row r="32" spans="1:1" x14ac:dyDescent="0.25">
      <c r="A32" s="1" t="s">
        <v>1</v>
      </c>
    </row>
    <row r="33" spans="1:1" x14ac:dyDescent="0.25">
      <c r="A33" s="1" t="s">
        <v>2</v>
      </c>
    </row>
    <row r="34" spans="1:1" x14ac:dyDescent="0.25">
      <c r="A34" s="1" t="s">
        <v>3</v>
      </c>
    </row>
    <row r="35" spans="1:1" x14ac:dyDescent="0.25">
      <c r="A35" s="1" t="s">
        <v>4</v>
      </c>
    </row>
    <row r="36" spans="1:1" x14ac:dyDescent="0.25">
      <c r="A36" s="1" t="s">
        <v>5</v>
      </c>
    </row>
    <row r="37" spans="1:1" x14ac:dyDescent="0.25">
      <c r="A37" s="1" t="s">
        <v>6</v>
      </c>
    </row>
    <row r="38" spans="1:1" x14ac:dyDescent="0.25">
      <c r="A38" s="1" t="s">
        <v>7</v>
      </c>
    </row>
    <row r="39" spans="1:1" x14ac:dyDescent="0.25">
      <c r="A39" s="1" t="s">
        <v>8</v>
      </c>
    </row>
    <row r="40" spans="1:1" x14ac:dyDescent="0.25">
      <c r="A40" s="1" t="s">
        <v>9</v>
      </c>
    </row>
    <row r="41" spans="1:1" x14ac:dyDescent="0.25">
      <c r="A41" s="1" t="s">
        <v>10</v>
      </c>
    </row>
    <row r="42" spans="1:1" x14ac:dyDescent="0.25">
      <c r="A42" s="1" t="s">
        <v>11</v>
      </c>
    </row>
    <row r="43" spans="1:1" x14ac:dyDescent="0.25">
      <c r="A43" s="1" t="s">
        <v>12</v>
      </c>
    </row>
    <row r="44" spans="1:1" x14ac:dyDescent="0.25">
      <c r="A44" s="1" t="s">
        <v>13</v>
      </c>
    </row>
    <row r="45" spans="1:1" x14ac:dyDescent="0.25">
      <c r="A45" s="1" t="s">
        <v>14</v>
      </c>
    </row>
    <row r="46" spans="1:1" x14ac:dyDescent="0.25">
      <c r="A46" s="1" t="s">
        <v>15</v>
      </c>
    </row>
    <row r="47" spans="1:1" x14ac:dyDescent="0.25">
      <c r="A47" s="1" t="s">
        <v>16</v>
      </c>
    </row>
    <row r="48" spans="1:1" x14ac:dyDescent="0.25">
      <c r="A48" s="1" t="s">
        <v>17</v>
      </c>
    </row>
    <row r="49" spans="1:1" x14ac:dyDescent="0.25">
      <c r="A49" s="1" t="s">
        <v>18</v>
      </c>
    </row>
    <row r="50" spans="1:1" x14ac:dyDescent="0.25">
      <c r="A50" s="1" t="s">
        <v>19</v>
      </c>
    </row>
    <row r="51" spans="1:1" x14ac:dyDescent="0.25">
      <c r="A51" s="1" t="s">
        <v>20</v>
      </c>
    </row>
    <row r="52" spans="1:1" x14ac:dyDescent="0.25">
      <c r="A52" s="1" t="s">
        <v>21</v>
      </c>
    </row>
    <row r="53" spans="1:1" x14ac:dyDescent="0.25">
      <c r="A53" s="1" t="s">
        <v>22</v>
      </c>
    </row>
    <row r="54" spans="1:1" x14ac:dyDescent="0.25">
      <c r="A54" s="1" t="s">
        <v>23</v>
      </c>
    </row>
    <row r="55" spans="1:1" x14ac:dyDescent="0.25">
      <c r="A55" s="1" t="s">
        <v>24</v>
      </c>
    </row>
    <row r="56" spans="1:1" x14ac:dyDescent="0.25">
      <c r="A56" s="1" t="s">
        <v>25</v>
      </c>
    </row>
    <row r="57" spans="1:1" x14ac:dyDescent="0.25">
      <c r="A57" s="1" t="s">
        <v>26</v>
      </c>
    </row>
    <row r="58" spans="1:1" x14ac:dyDescent="0.25">
      <c r="A58" s="1" t="s">
        <v>27</v>
      </c>
    </row>
    <row r="59" spans="1:1" x14ac:dyDescent="0.25">
      <c r="A59" s="1" t="s">
        <v>28</v>
      </c>
    </row>
    <row r="60" spans="1:1" x14ac:dyDescent="0.25">
      <c r="A60" s="1" t="s">
        <v>29</v>
      </c>
    </row>
    <row r="61" spans="1:1" x14ac:dyDescent="0.25">
      <c r="A61" s="1" t="s">
        <v>0</v>
      </c>
    </row>
    <row r="62" spans="1:1" x14ac:dyDescent="0.25">
      <c r="A62" s="1" t="s">
        <v>1</v>
      </c>
    </row>
    <row r="63" spans="1:1" x14ac:dyDescent="0.25">
      <c r="A63" s="1" t="s">
        <v>2</v>
      </c>
    </row>
    <row r="64" spans="1:1" x14ac:dyDescent="0.25">
      <c r="A64" s="1" t="s">
        <v>3</v>
      </c>
    </row>
    <row r="65" spans="1:1" x14ac:dyDescent="0.25">
      <c r="A65" s="1" t="s">
        <v>4</v>
      </c>
    </row>
    <row r="66" spans="1:1" x14ac:dyDescent="0.25">
      <c r="A66" s="1" t="s">
        <v>5</v>
      </c>
    </row>
    <row r="67" spans="1:1" x14ac:dyDescent="0.25">
      <c r="A67" s="1" t="s">
        <v>6</v>
      </c>
    </row>
    <row r="68" spans="1:1" x14ac:dyDescent="0.25">
      <c r="A68" s="1" t="s">
        <v>7</v>
      </c>
    </row>
    <row r="69" spans="1:1" x14ac:dyDescent="0.25">
      <c r="A69" s="1" t="s">
        <v>8</v>
      </c>
    </row>
    <row r="70" spans="1:1" x14ac:dyDescent="0.25">
      <c r="A70" s="1" t="s">
        <v>9</v>
      </c>
    </row>
    <row r="71" spans="1:1" x14ac:dyDescent="0.25">
      <c r="A71" s="1" t="s">
        <v>10</v>
      </c>
    </row>
    <row r="72" spans="1:1" x14ac:dyDescent="0.25">
      <c r="A72" s="1" t="s">
        <v>11</v>
      </c>
    </row>
    <row r="73" spans="1:1" x14ac:dyDescent="0.25">
      <c r="A73" s="1" t="s">
        <v>12</v>
      </c>
    </row>
    <row r="74" spans="1:1" x14ac:dyDescent="0.25">
      <c r="A74" s="1" t="s">
        <v>13</v>
      </c>
    </row>
    <row r="75" spans="1:1" x14ac:dyDescent="0.25">
      <c r="A75" s="1" t="s">
        <v>14</v>
      </c>
    </row>
    <row r="76" spans="1:1" x14ac:dyDescent="0.25">
      <c r="A76" s="1" t="s">
        <v>15</v>
      </c>
    </row>
    <row r="77" spans="1:1" x14ac:dyDescent="0.25">
      <c r="A77" s="1" t="s">
        <v>16</v>
      </c>
    </row>
    <row r="78" spans="1:1" x14ac:dyDescent="0.25">
      <c r="A78" s="1" t="s">
        <v>17</v>
      </c>
    </row>
    <row r="79" spans="1:1" x14ac:dyDescent="0.25">
      <c r="A79" s="1" t="s">
        <v>18</v>
      </c>
    </row>
    <row r="80" spans="1:1" x14ac:dyDescent="0.25">
      <c r="A80" s="1" t="s">
        <v>19</v>
      </c>
    </row>
    <row r="81" spans="1:1" x14ac:dyDescent="0.25">
      <c r="A81" s="1" t="s">
        <v>20</v>
      </c>
    </row>
    <row r="82" spans="1:1" x14ac:dyDescent="0.25">
      <c r="A82" s="1" t="s">
        <v>21</v>
      </c>
    </row>
    <row r="83" spans="1:1" x14ac:dyDescent="0.25">
      <c r="A83" s="1" t="s">
        <v>22</v>
      </c>
    </row>
    <row r="84" spans="1:1" x14ac:dyDescent="0.25">
      <c r="A84" s="1" t="s">
        <v>23</v>
      </c>
    </row>
    <row r="85" spans="1:1" x14ac:dyDescent="0.25">
      <c r="A85" s="1" t="s">
        <v>24</v>
      </c>
    </row>
    <row r="86" spans="1:1" x14ac:dyDescent="0.25">
      <c r="A86" s="1" t="s">
        <v>25</v>
      </c>
    </row>
    <row r="87" spans="1:1" x14ac:dyDescent="0.25">
      <c r="A87" s="1" t="s">
        <v>26</v>
      </c>
    </row>
    <row r="88" spans="1:1" x14ac:dyDescent="0.25">
      <c r="A88" s="1" t="s">
        <v>27</v>
      </c>
    </row>
    <row r="89" spans="1:1" x14ac:dyDescent="0.25">
      <c r="A89" s="1" t="s">
        <v>28</v>
      </c>
    </row>
    <row r="90" spans="1:1" x14ac:dyDescent="0.25">
      <c r="A90" s="1" t="s">
        <v>29</v>
      </c>
    </row>
    <row r="91" spans="1:1" x14ac:dyDescent="0.25">
      <c r="A91" s="1" t="s">
        <v>0</v>
      </c>
    </row>
    <row r="92" spans="1:1" x14ac:dyDescent="0.25">
      <c r="A92" s="1" t="s">
        <v>1</v>
      </c>
    </row>
    <row r="93" spans="1:1" x14ac:dyDescent="0.25">
      <c r="A93" s="1" t="s">
        <v>2</v>
      </c>
    </row>
    <row r="94" spans="1:1" x14ac:dyDescent="0.25">
      <c r="A94" s="1" t="s">
        <v>3</v>
      </c>
    </row>
    <row r="95" spans="1:1" x14ac:dyDescent="0.25">
      <c r="A95" s="1" t="s">
        <v>4</v>
      </c>
    </row>
    <row r="96" spans="1:1" x14ac:dyDescent="0.25">
      <c r="A96" s="1" t="s">
        <v>5</v>
      </c>
    </row>
    <row r="97" spans="1:1" x14ac:dyDescent="0.25">
      <c r="A97" s="1" t="s">
        <v>6</v>
      </c>
    </row>
    <row r="98" spans="1:1" x14ac:dyDescent="0.25">
      <c r="A98" s="1" t="s">
        <v>7</v>
      </c>
    </row>
    <row r="99" spans="1:1" x14ac:dyDescent="0.25">
      <c r="A99" s="1" t="s">
        <v>8</v>
      </c>
    </row>
    <row r="100" spans="1:1" x14ac:dyDescent="0.25">
      <c r="A100" s="1" t="s">
        <v>9</v>
      </c>
    </row>
    <row r="101" spans="1:1" x14ac:dyDescent="0.25">
      <c r="A101" s="1" t="s">
        <v>10</v>
      </c>
    </row>
    <row r="102" spans="1:1" x14ac:dyDescent="0.25">
      <c r="A102" s="1" t="s">
        <v>11</v>
      </c>
    </row>
    <row r="103" spans="1:1" x14ac:dyDescent="0.25">
      <c r="A103" s="1" t="s">
        <v>12</v>
      </c>
    </row>
    <row r="104" spans="1:1" x14ac:dyDescent="0.25">
      <c r="A104" s="1" t="s">
        <v>13</v>
      </c>
    </row>
    <row r="105" spans="1:1" x14ac:dyDescent="0.25">
      <c r="A105" s="1" t="s">
        <v>14</v>
      </c>
    </row>
    <row r="106" spans="1:1" x14ac:dyDescent="0.25">
      <c r="A106" s="1" t="s">
        <v>15</v>
      </c>
    </row>
    <row r="107" spans="1:1" x14ac:dyDescent="0.25">
      <c r="A107" s="1" t="s">
        <v>16</v>
      </c>
    </row>
    <row r="108" spans="1:1" x14ac:dyDescent="0.25">
      <c r="A108" s="1" t="s">
        <v>17</v>
      </c>
    </row>
    <row r="109" spans="1:1" x14ac:dyDescent="0.25">
      <c r="A109" s="1" t="s">
        <v>18</v>
      </c>
    </row>
    <row r="110" spans="1:1" x14ac:dyDescent="0.25">
      <c r="A110" s="1" t="s">
        <v>19</v>
      </c>
    </row>
    <row r="111" spans="1:1" x14ac:dyDescent="0.25">
      <c r="A111" s="1" t="s">
        <v>20</v>
      </c>
    </row>
    <row r="112" spans="1:1" x14ac:dyDescent="0.25">
      <c r="A112" s="1" t="s">
        <v>21</v>
      </c>
    </row>
    <row r="113" spans="1:1" x14ac:dyDescent="0.25">
      <c r="A113" s="1" t="s">
        <v>22</v>
      </c>
    </row>
    <row r="114" spans="1:1" x14ac:dyDescent="0.25">
      <c r="A114" s="1" t="s">
        <v>23</v>
      </c>
    </row>
    <row r="115" spans="1:1" x14ac:dyDescent="0.25">
      <c r="A115" s="1" t="s">
        <v>24</v>
      </c>
    </row>
    <row r="116" spans="1:1" x14ac:dyDescent="0.25">
      <c r="A116" s="1" t="s">
        <v>25</v>
      </c>
    </row>
    <row r="117" spans="1:1" x14ac:dyDescent="0.25">
      <c r="A117" s="1" t="s">
        <v>26</v>
      </c>
    </row>
    <row r="118" spans="1:1" x14ac:dyDescent="0.25">
      <c r="A118" s="1" t="s">
        <v>27</v>
      </c>
    </row>
    <row r="119" spans="1:1" x14ac:dyDescent="0.25">
      <c r="A119" s="1" t="s">
        <v>28</v>
      </c>
    </row>
    <row r="120" spans="1:1" x14ac:dyDescent="0.25">
      <c r="A120" s="1" t="s">
        <v>29</v>
      </c>
    </row>
    <row r="121" spans="1:1" x14ac:dyDescent="0.25">
      <c r="A121" s="1" t="s">
        <v>0</v>
      </c>
    </row>
    <row r="122" spans="1:1" x14ac:dyDescent="0.25">
      <c r="A122" s="1" t="s">
        <v>1</v>
      </c>
    </row>
    <row r="123" spans="1:1" x14ac:dyDescent="0.25">
      <c r="A123" s="1" t="s">
        <v>2</v>
      </c>
    </row>
    <row r="124" spans="1:1" x14ac:dyDescent="0.25">
      <c r="A124" s="1" t="s">
        <v>3</v>
      </c>
    </row>
    <row r="125" spans="1:1" x14ac:dyDescent="0.25">
      <c r="A125" s="1" t="s">
        <v>4</v>
      </c>
    </row>
    <row r="126" spans="1:1" x14ac:dyDescent="0.25">
      <c r="A126" s="1" t="s">
        <v>5</v>
      </c>
    </row>
    <row r="127" spans="1:1" x14ac:dyDescent="0.25">
      <c r="A127" s="1" t="s">
        <v>6</v>
      </c>
    </row>
    <row r="128" spans="1:1" x14ac:dyDescent="0.25">
      <c r="A128" s="1" t="s">
        <v>7</v>
      </c>
    </row>
    <row r="129" spans="1:1" x14ac:dyDescent="0.25">
      <c r="A129" s="1" t="s">
        <v>8</v>
      </c>
    </row>
    <row r="130" spans="1:1" x14ac:dyDescent="0.25">
      <c r="A130" s="1" t="s">
        <v>9</v>
      </c>
    </row>
    <row r="131" spans="1:1" x14ac:dyDescent="0.25">
      <c r="A131" s="1" t="s">
        <v>10</v>
      </c>
    </row>
    <row r="132" spans="1:1" x14ac:dyDescent="0.25">
      <c r="A132" s="1" t="s">
        <v>11</v>
      </c>
    </row>
    <row r="133" spans="1:1" x14ac:dyDescent="0.25">
      <c r="A133" s="1" t="s">
        <v>12</v>
      </c>
    </row>
    <row r="134" spans="1:1" x14ac:dyDescent="0.25">
      <c r="A134" s="1" t="s">
        <v>13</v>
      </c>
    </row>
    <row r="135" spans="1:1" x14ac:dyDescent="0.25">
      <c r="A135" s="1" t="s">
        <v>14</v>
      </c>
    </row>
    <row r="136" spans="1:1" x14ac:dyDescent="0.25">
      <c r="A136" s="1" t="s">
        <v>15</v>
      </c>
    </row>
    <row r="137" spans="1:1" x14ac:dyDescent="0.25">
      <c r="A137" s="1" t="s">
        <v>16</v>
      </c>
    </row>
    <row r="138" spans="1:1" x14ac:dyDescent="0.25">
      <c r="A138" s="1" t="s">
        <v>17</v>
      </c>
    </row>
    <row r="139" spans="1:1" x14ac:dyDescent="0.25">
      <c r="A139" s="1" t="s">
        <v>18</v>
      </c>
    </row>
    <row r="140" spans="1:1" x14ac:dyDescent="0.25">
      <c r="A140" s="1" t="s">
        <v>19</v>
      </c>
    </row>
    <row r="141" spans="1:1" x14ac:dyDescent="0.25">
      <c r="A141" s="1" t="s">
        <v>20</v>
      </c>
    </row>
    <row r="142" spans="1:1" x14ac:dyDescent="0.25">
      <c r="A142" s="1" t="s">
        <v>21</v>
      </c>
    </row>
    <row r="143" spans="1:1" x14ac:dyDescent="0.25">
      <c r="A143" s="1" t="s">
        <v>22</v>
      </c>
    </row>
    <row r="144" spans="1:1" x14ac:dyDescent="0.25">
      <c r="A144" s="1" t="s">
        <v>23</v>
      </c>
    </row>
    <row r="145" spans="1:1" x14ac:dyDescent="0.25">
      <c r="A145" s="1" t="s">
        <v>24</v>
      </c>
    </row>
    <row r="146" spans="1:1" x14ac:dyDescent="0.25">
      <c r="A146" s="1" t="s">
        <v>25</v>
      </c>
    </row>
    <row r="147" spans="1:1" x14ac:dyDescent="0.25">
      <c r="A147" s="1" t="s">
        <v>26</v>
      </c>
    </row>
    <row r="148" spans="1:1" x14ac:dyDescent="0.25">
      <c r="A148" s="1" t="s">
        <v>27</v>
      </c>
    </row>
    <row r="149" spans="1:1" x14ac:dyDescent="0.25">
      <c r="A149" s="1" t="s">
        <v>28</v>
      </c>
    </row>
    <row r="150" spans="1:1" x14ac:dyDescent="0.25">
      <c r="A150" s="1" t="s">
        <v>29</v>
      </c>
    </row>
    <row r="151" spans="1:1" x14ac:dyDescent="0.25">
      <c r="A151" s="1" t="s">
        <v>0</v>
      </c>
    </row>
    <row r="152" spans="1:1" x14ac:dyDescent="0.25">
      <c r="A152" s="1" t="s">
        <v>1</v>
      </c>
    </row>
    <row r="153" spans="1:1" x14ac:dyDescent="0.25">
      <c r="A153" s="1" t="s">
        <v>2</v>
      </c>
    </row>
    <row r="154" spans="1:1" x14ac:dyDescent="0.25">
      <c r="A154" s="1" t="s">
        <v>3</v>
      </c>
    </row>
    <row r="155" spans="1:1" x14ac:dyDescent="0.25">
      <c r="A155" s="1" t="s">
        <v>4</v>
      </c>
    </row>
    <row r="156" spans="1:1" x14ac:dyDescent="0.25">
      <c r="A156" s="1" t="s">
        <v>5</v>
      </c>
    </row>
    <row r="157" spans="1:1" x14ac:dyDescent="0.25">
      <c r="A157" s="1" t="s">
        <v>6</v>
      </c>
    </row>
    <row r="158" spans="1:1" x14ac:dyDescent="0.25">
      <c r="A158" s="1" t="s">
        <v>7</v>
      </c>
    </row>
    <row r="159" spans="1:1" x14ac:dyDescent="0.25">
      <c r="A159" s="1" t="s">
        <v>8</v>
      </c>
    </row>
    <row r="160" spans="1:1" x14ac:dyDescent="0.25">
      <c r="A160" s="1" t="s">
        <v>9</v>
      </c>
    </row>
    <row r="161" spans="1:1" x14ac:dyDescent="0.25">
      <c r="A161" s="1" t="s">
        <v>10</v>
      </c>
    </row>
    <row r="162" spans="1:1" x14ac:dyDescent="0.25">
      <c r="A162" s="1" t="s">
        <v>11</v>
      </c>
    </row>
    <row r="163" spans="1:1" x14ac:dyDescent="0.25">
      <c r="A163" s="1" t="s">
        <v>12</v>
      </c>
    </row>
    <row r="164" spans="1:1" x14ac:dyDescent="0.25">
      <c r="A164" s="1" t="s">
        <v>13</v>
      </c>
    </row>
    <row r="165" spans="1:1" x14ac:dyDescent="0.25">
      <c r="A165" s="1" t="s">
        <v>14</v>
      </c>
    </row>
    <row r="166" spans="1:1" x14ac:dyDescent="0.25">
      <c r="A166" s="1" t="s">
        <v>15</v>
      </c>
    </row>
    <row r="167" spans="1:1" x14ac:dyDescent="0.25">
      <c r="A167" s="1" t="s">
        <v>16</v>
      </c>
    </row>
    <row r="168" spans="1:1" x14ac:dyDescent="0.25">
      <c r="A168" s="1" t="s">
        <v>17</v>
      </c>
    </row>
    <row r="169" spans="1:1" x14ac:dyDescent="0.25">
      <c r="A169" s="1" t="s">
        <v>18</v>
      </c>
    </row>
    <row r="170" spans="1:1" x14ac:dyDescent="0.25">
      <c r="A170" s="1" t="s">
        <v>19</v>
      </c>
    </row>
    <row r="171" spans="1:1" x14ac:dyDescent="0.25">
      <c r="A171" s="1" t="s">
        <v>20</v>
      </c>
    </row>
    <row r="172" spans="1:1" x14ac:dyDescent="0.25">
      <c r="A172" s="1" t="s">
        <v>21</v>
      </c>
    </row>
    <row r="173" spans="1:1" x14ac:dyDescent="0.25">
      <c r="A173" s="1" t="s">
        <v>22</v>
      </c>
    </row>
    <row r="174" spans="1:1" x14ac:dyDescent="0.25">
      <c r="A174" s="1" t="s">
        <v>23</v>
      </c>
    </row>
    <row r="175" spans="1:1" x14ac:dyDescent="0.25">
      <c r="A175" s="1" t="s">
        <v>24</v>
      </c>
    </row>
    <row r="176" spans="1:1" x14ac:dyDescent="0.25">
      <c r="A176" s="1" t="s">
        <v>25</v>
      </c>
    </row>
    <row r="177" spans="1:1" x14ac:dyDescent="0.25">
      <c r="A177" s="1" t="s">
        <v>26</v>
      </c>
    </row>
    <row r="178" spans="1:1" x14ac:dyDescent="0.25">
      <c r="A178" s="1" t="s">
        <v>27</v>
      </c>
    </row>
    <row r="179" spans="1:1" x14ac:dyDescent="0.25">
      <c r="A179" s="1" t="s">
        <v>28</v>
      </c>
    </row>
    <row r="180" spans="1:1" x14ac:dyDescent="0.25">
      <c r="A180" s="1" t="s">
        <v>29</v>
      </c>
    </row>
    <row r="181" spans="1:1" x14ac:dyDescent="0.25">
      <c r="A181" s="1" t="s">
        <v>0</v>
      </c>
    </row>
    <row r="182" spans="1:1" x14ac:dyDescent="0.25">
      <c r="A182" s="1" t="s">
        <v>1</v>
      </c>
    </row>
    <row r="183" spans="1:1" x14ac:dyDescent="0.25">
      <c r="A183" s="1" t="s">
        <v>2</v>
      </c>
    </row>
    <row r="184" spans="1:1" x14ac:dyDescent="0.25">
      <c r="A184" s="1" t="s">
        <v>3</v>
      </c>
    </row>
    <row r="185" spans="1:1" x14ac:dyDescent="0.25">
      <c r="A185" s="1" t="s">
        <v>4</v>
      </c>
    </row>
    <row r="186" spans="1:1" x14ac:dyDescent="0.25">
      <c r="A186" s="1" t="s">
        <v>5</v>
      </c>
    </row>
    <row r="187" spans="1:1" x14ac:dyDescent="0.25">
      <c r="A187" s="1" t="s">
        <v>6</v>
      </c>
    </row>
    <row r="188" spans="1:1" x14ac:dyDescent="0.25">
      <c r="A188" s="1" t="s">
        <v>7</v>
      </c>
    </row>
    <row r="189" spans="1:1" x14ac:dyDescent="0.25">
      <c r="A189" s="1" t="s">
        <v>8</v>
      </c>
    </row>
    <row r="190" spans="1:1" x14ac:dyDescent="0.25">
      <c r="A190" s="1" t="s">
        <v>9</v>
      </c>
    </row>
    <row r="191" spans="1:1" x14ac:dyDescent="0.25">
      <c r="A191" s="1" t="s">
        <v>10</v>
      </c>
    </row>
    <row r="192" spans="1:1" x14ac:dyDescent="0.25">
      <c r="A192" s="1" t="s">
        <v>11</v>
      </c>
    </row>
    <row r="193" spans="1:1" x14ac:dyDescent="0.25">
      <c r="A193" s="1" t="s">
        <v>12</v>
      </c>
    </row>
    <row r="194" spans="1:1" x14ac:dyDescent="0.25">
      <c r="A194" s="1" t="s">
        <v>13</v>
      </c>
    </row>
    <row r="195" spans="1:1" x14ac:dyDescent="0.25">
      <c r="A195" s="1" t="s">
        <v>14</v>
      </c>
    </row>
    <row r="196" spans="1:1" x14ac:dyDescent="0.25">
      <c r="A196" s="1" t="s">
        <v>15</v>
      </c>
    </row>
    <row r="197" spans="1:1" x14ac:dyDescent="0.25">
      <c r="A197" s="1" t="s">
        <v>16</v>
      </c>
    </row>
    <row r="198" spans="1:1" x14ac:dyDescent="0.25">
      <c r="A198" s="1" t="s">
        <v>17</v>
      </c>
    </row>
    <row r="199" spans="1:1" x14ac:dyDescent="0.25">
      <c r="A199" s="1" t="s">
        <v>18</v>
      </c>
    </row>
    <row r="200" spans="1:1" x14ac:dyDescent="0.25">
      <c r="A200" s="1" t="s">
        <v>19</v>
      </c>
    </row>
    <row r="201" spans="1:1" x14ac:dyDescent="0.25">
      <c r="A201" s="1" t="s">
        <v>20</v>
      </c>
    </row>
    <row r="202" spans="1:1" x14ac:dyDescent="0.25">
      <c r="A202" s="1" t="s">
        <v>21</v>
      </c>
    </row>
    <row r="203" spans="1:1" x14ac:dyDescent="0.25">
      <c r="A203" s="1" t="s">
        <v>22</v>
      </c>
    </row>
    <row r="204" spans="1:1" x14ac:dyDescent="0.25">
      <c r="A204" s="1" t="s">
        <v>23</v>
      </c>
    </row>
    <row r="205" spans="1:1" x14ac:dyDescent="0.25">
      <c r="A205" s="1" t="s">
        <v>24</v>
      </c>
    </row>
    <row r="206" spans="1:1" x14ac:dyDescent="0.25">
      <c r="A206" s="1" t="s">
        <v>25</v>
      </c>
    </row>
    <row r="207" spans="1:1" x14ac:dyDescent="0.25">
      <c r="A207" s="1" t="s">
        <v>26</v>
      </c>
    </row>
    <row r="208" spans="1:1" x14ac:dyDescent="0.25">
      <c r="A208" s="1" t="s">
        <v>27</v>
      </c>
    </row>
    <row r="209" spans="1:27" x14ac:dyDescent="0.25">
      <c r="A209" s="1" t="s">
        <v>28</v>
      </c>
    </row>
    <row r="210" spans="1:27" x14ac:dyDescent="0.25">
      <c r="A210" s="1" t="s">
        <v>29</v>
      </c>
    </row>
    <row r="215" spans="1:27" x14ac:dyDescent="0.25">
      <c r="AA215" s="5"/>
    </row>
    <row r="216" spans="1:27" x14ac:dyDescent="0.25">
      <c r="AA216" s="5"/>
    </row>
    <row r="217" spans="1:27" x14ac:dyDescent="0.25">
      <c r="AA217" s="5"/>
    </row>
    <row r="218" spans="1:27" x14ac:dyDescent="0.25">
      <c r="AA218" s="5"/>
    </row>
    <row r="219" spans="1:27" s="7" customFormat="1" x14ac:dyDescent="0.25">
      <c r="A219" s="6" t="s">
        <v>60</v>
      </c>
    </row>
    <row r="220" spans="1:27" s="7" customFormat="1" x14ac:dyDescent="0.25"/>
    <row r="221" spans="1:27" s="7" customFormat="1" x14ac:dyDescent="0.25"/>
    <row r="222" spans="1:27" s="7" customFormat="1" x14ac:dyDescent="0.25"/>
    <row r="223" spans="1:27" s="7" customFormat="1" x14ac:dyDescent="0.25"/>
    <row r="224" spans="1:27" s="7" customFormat="1" x14ac:dyDescent="0.25"/>
    <row r="225" s="7" customFormat="1" x14ac:dyDescent="0.25"/>
    <row r="226" s="7" customFormat="1" x14ac:dyDescent="0.25"/>
    <row r="227" s="7" customFormat="1" x14ac:dyDescent="0.25"/>
    <row r="228" s="7" customFormat="1" x14ac:dyDescent="0.25"/>
    <row r="229" s="7" customFormat="1" x14ac:dyDescent="0.25"/>
    <row r="230" s="7" customFormat="1" x14ac:dyDescent="0.25"/>
    <row r="231" s="7" customFormat="1" x14ac:dyDescent="0.25"/>
    <row r="232" s="7" customFormat="1" x14ac:dyDescent="0.25"/>
    <row r="233" s="7" customFormat="1" x14ac:dyDescent="0.25"/>
    <row r="234" s="7" customFormat="1" x14ac:dyDescent="0.25"/>
    <row r="235" s="7" customFormat="1" x14ac:dyDescent="0.25"/>
    <row r="236" s="7" customFormat="1" x14ac:dyDescent="0.25"/>
    <row r="237" s="7" customFormat="1" x14ac:dyDescent="0.25"/>
    <row r="238" s="7" customFormat="1" x14ac:dyDescent="0.25"/>
    <row r="239" s="7" customFormat="1" x14ac:dyDescent="0.25"/>
    <row r="240" s="7" customFormat="1" x14ac:dyDescent="0.25"/>
    <row r="241" s="7" customFormat="1" x14ac:dyDescent="0.25"/>
    <row r="242" s="7" customFormat="1" x14ac:dyDescent="0.25"/>
    <row r="243" s="7" customFormat="1" x14ac:dyDescent="0.25"/>
    <row r="244" s="7" customFormat="1" x14ac:dyDescent="0.25"/>
    <row r="245" s="7" customFormat="1" x14ac:dyDescent="0.25"/>
    <row r="246" s="7" customFormat="1" x14ac:dyDescent="0.25"/>
    <row r="247" s="7" customFormat="1" x14ac:dyDescent="0.25"/>
    <row r="248" s="7" customFormat="1" x14ac:dyDescent="0.25"/>
    <row r="249" s="7" customFormat="1" x14ac:dyDescent="0.25"/>
    <row r="250" s="7" customFormat="1" x14ac:dyDescent="0.25"/>
    <row r="251" s="7" customFormat="1" x14ac:dyDescent="0.25"/>
    <row r="252" s="7" customFormat="1" x14ac:dyDescent="0.25"/>
    <row r="253" s="7" customFormat="1" x14ac:dyDescent="0.25"/>
    <row r="254" s="7" customFormat="1" x14ac:dyDescent="0.25"/>
    <row r="255" s="7" customFormat="1" x14ac:dyDescent="0.25"/>
    <row r="256" s="7" customFormat="1" x14ac:dyDescent="0.25"/>
    <row r="257" s="7" customFormat="1" x14ac:dyDescent="0.25"/>
    <row r="258" s="7" customFormat="1" x14ac:dyDescent="0.25"/>
    <row r="259" s="7" customFormat="1" x14ac:dyDescent="0.25"/>
    <row r="260" s="7" customFormat="1" x14ac:dyDescent="0.25"/>
    <row r="261" s="7" customFormat="1" x14ac:dyDescent="0.25"/>
    <row r="262" s="7" customFormat="1" x14ac:dyDescent="0.25"/>
    <row r="263" s="7" customFormat="1" x14ac:dyDescent="0.25"/>
    <row r="264" s="7" customFormat="1" x14ac:dyDescent="0.25"/>
    <row r="265" s="7" customFormat="1" x14ac:dyDescent="0.25"/>
    <row r="266" s="7" customFormat="1" x14ac:dyDescent="0.25"/>
    <row r="267" s="7" customFormat="1" x14ac:dyDescent="0.25"/>
    <row r="268" s="7" customFormat="1" x14ac:dyDescent="0.25"/>
    <row r="269" s="7" customFormat="1" x14ac:dyDescent="0.25"/>
    <row r="270" s="7" customFormat="1" x14ac:dyDescent="0.25"/>
    <row r="271" s="7" customFormat="1" x14ac:dyDescent="0.25"/>
    <row r="272" s="7" customFormat="1" x14ac:dyDescent="0.25"/>
    <row r="273" s="7" customFormat="1" x14ac:dyDescent="0.25"/>
    <row r="274" s="7" customFormat="1" x14ac:dyDescent="0.25"/>
    <row r="275" s="7" customFormat="1" x14ac:dyDescent="0.25"/>
    <row r="276" s="7" customFormat="1" x14ac:dyDescent="0.25"/>
    <row r="277" s="7" customFormat="1" x14ac:dyDescent="0.25"/>
    <row r="278" s="7" customFormat="1" x14ac:dyDescent="0.25"/>
    <row r="279" s="7" customFormat="1" x14ac:dyDescent="0.25"/>
    <row r="280" s="7" customFormat="1" x14ac:dyDescent="0.25"/>
    <row r="281" s="7" customFormat="1" x14ac:dyDescent="0.25"/>
    <row r="282" s="7" customFormat="1" x14ac:dyDescent="0.25"/>
    <row r="283" s="7" customFormat="1" x14ac:dyDescent="0.25"/>
    <row r="284" s="7" customFormat="1" x14ac:dyDescent="0.25"/>
    <row r="285" s="7" customFormat="1" x14ac:dyDescent="0.25"/>
    <row r="286" s="7" customFormat="1" x14ac:dyDescent="0.25"/>
    <row r="287" s="7" customFormat="1" x14ac:dyDescent="0.25"/>
    <row r="288" s="7" customFormat="1" x14ac:dyDescent="0.25"/>
    <row r="289" s="7" customFormat="1" x14ac:dyDescent="0.25"/>
    <row r="290" s="7" customFormat="1" x14ac:dyDescent="0.25"/>
    <row r="291" s="7" customFormat="1" x14ac:dyDescent="0.25"/>
    <row r="292" s="7" customFormat="1" x14ac:dyDescent="0.25"/>
    <row r="293" s="7" customFormat="1" x14ac:dyDescent="0.25"/>
    <row r="294" s="7" customFormat="1" x14ac:dyDescent="0.25"/>
    <row r="295" s="7" customFormat="1" x14ac:dyDescent="0.25"/>
    <row r="296" s="7" customFormat="1" x14ac:dyDescent="0.25"/>
    <row r="297" s="7" customFormat="1" x14ac:dyDescent="0.25"/>
    <row r="298" s="7" customFormat="1" x14ac:dyDescent="0.25"/>
    <row r="299" s="7" customFormat="1" x14ac:dyDescent="0.25"/>
    <row r="300" s="7" customFormat="1" x14ac:dyDescent="0.25"/>
    <row r="301" s="7" customFormat="1" x14ac:dyDescent="0.25"/>
    <row r="302" s="7" customFormat="1" x14ac:dyDescent="0.25"/>
    <row r="303" s="7" customFormat="1" x14ac:dyDescent="0.25"/>
    <row r="304" s="7" customFormat="1" x14ac:dyDescent="0.25"/>
    <row r="305" s="7" customFormat="1" x14ac:dyDescent="0.25"/>
    <row r="306" s="7" customFormat="1" x14ac:dyDescent="0.25"/>
    <row r="307" s="7" customFormat="1" x14ac:dyDescent="0.25"/>
    <row r="308" s="7" customFormat="1" x14ac:dyDescent="0.25"/>
    <row r="309" s="7" customFormat="1" x14ac:dyDescent="0.25"/>
    <row r="310" s="7" customFormat="1" x14ac:dyDescent="0.25"/>
    <row r="311" s="7" customFormat="1" x14ac:dyDescent="0.25"/>
    <row r="312" s="7" customFormat="1" x14ac:dyDescent="0.25"/>
    <row r="313" s="7" customFormat="1" x14ac:dyDescent="0.25"/>
    <row r="314" s="7" customFormat="1" x14ac:dyDescent="0.25"/>
    <row r="315" s="7" customFormat="1" x14ac:dyDescent="0.25"/>
    <row r="316" s="7" customFormat="1" x14ac:dyDescent="0.25"/>
    <row r="317" s="7" customFormat="1" x14ac:dyDescent="0.25"/>
    <row r="318" s="7" customFormat="1" x14ac:dyDescent="0.25"/>
    <row r="319" s="7" customFormat="1" x14ac:dyDescent="0.25"/>
    <row r="320" s="7" customFormat="1" x14ac:dyDescent="0.25"/>
    <row r="321" s="7" customFormat="1" x14ac:dyDescent="0.25"/>
    <row r="322" s="7" customFormat="1" x14ac:dyDescent="0.25"/>
    <row r="323" s="7" customFormat="1" x14ac:dyDescent="0.25"/>
    <row r="324" s="7" customFormat="1" x14ac:dyDescent="0.25"/>
    <row r="325" s="7" customFormat="1" x14ac:dyDescent="0.25"/>
    <row r="326" s="7" customFormat="1" x14ac:dyDescent="0.25"/>
    <row r="327" s="7" customFormat="1" x14ac:dyDescent="0.25"/>
    <row r="328" s="7" customFormat="1" x14ac:dyDescent="0.25"/>
    <row r="329" s="7" customFormat="1" x14ac:dyDescent="0.25"/>
    <row r="330" s="7" customFormat="1" x14ac:dyDescent="0.25"/>
    <row r="331" s="7" customFormat="1" x14ac:dyDescent="0.25"/>
    <row r="332" s="7" customFormat="1" x14ac:dyDescent="0.25"/>
    <row r="333" s="7" customFormat="1" x14ac:dyDescent="0.25"/>
    <row r="334" s="7" customFormat="1" x14ac:dyDescent="0.25"/>
    <row r="335" s="7" customFormat="1" x14ac:dyDescent="0.25"/>
    <row r="336" s="7" customFormat="1" x14ac:dyDescent="0.25"/>
    <row r="337" s="7" customFormat="1" x14ac:dyDescent="0.25"/>
    <row r="338" s="7" customFormat="1" x14ac:dyDescent="0.25"/>
    <row r="339" s="7" customFormat="1" x14ac:dyDescent="0.25"/>
    <row r="340" s="7" customFormat="1" x14ac:dyDescent="0.25"/>
    <row r="341" s="7" customFormat="1" x14ac:dyDescent="0.25"/>
    <row r="342" s="7" customFormat="1" x14ac:dyDescent="0.25"/>
    <row r="343" s="7" customFormat="1" x14ac:dyDescent="0.25"/>
    <row r="344" s="7" customFormat="1" x14ac:dyDescent="0.25"/>
    <row r="345" s="7" customFormat="1" x14ac:dyDescent="0.25"/>
    <row r="346" s="7" customFormat="1" x14ac:dyDescent="0.25"/>
    <row r="347" s="7" customFormat="1" x14ac:dyDescent="0.25"/>
    <row r="348" s="7" customFormat="1" x14ac:dyDescent="0.25"/>
    <row r="349" s="7" customFormat="1" x14ac:dyDescent="0.25"/>
    <row r="350" s="7" customFormat="1" x14ac:dyDescent="0.25"/>
    <row r="351" s="7" customFormat="1" x14ac:dyDescent="0.25"/>
    <row r="352" s="7" customFormat="1" x14ac:dyDescent="0.25"/>
    <row r="353" s="7" customFormat="1" x14ac:dyDescent="0.25"/>
    <row r="354" s="7" customFormat="1" x14ac:dyDescent="0.25"/>
    <row r="355" s="7" customFormat="1" x14ac:dyDescent="0.25"/>
    <row r="356" s="7" customFormat="1" x14ac:dyDescent="0.25"/>
    <row r="357" s="7" customFormat="1" x14ac:dyDescent="0.25"/>
    <row r="358" s="7" customFormat="1" x14ac:dyDescent="0.25"/>
    <row r="359" s="7" customFormat="1" x14ac:dyDescent="0.25"/>
    <row r="360" s="7" customFormat="1" x14ac:dyDescent="0.25"/>
    <row r="361" s="7" customFormat="1" x14ac:dyDescent="0.25"/>
    <row r="362" s="7" customFormat="1" x14ac:dyDescent="0.25"/>
    <row r="363" s="7" customFormat="1" x14ac:dyDescent="0.25"/>
    <row r="364" s="7" customFormat="1" x14ac:dyDescent="0.25"/>
    <row r="365" s="7" customFormat="1" x14ac:dyDescent="0.25"/>
    <row r="366" s="7" customFormat="1" x14ac:dyDescent="0.25"/>
    <row r="367" s="7" customFormat="1" x14ac:dyDescent="0.25"/>
    <row r="368" s="7" customFormat="1" x14ac:dyDescent="0.25"/>
    <row r="369" s="7" customFormat="1" x14ac:dyDescent="0.25"/>
    <row r="370" s="7" customFormat="1" x14ac:dyDescent="0.25"/>
    <row r="371" s="7" customFormat="1" x14ac:dyDescent="0.25"/>
    <row r="372" s="7" customFormat="1" x14ac:dyDescent="0.25"/>
    <row r="373" s="7" customFormat="1" x14ac:dyDescent="0.25"/>
    <row r="374" s="7" customFormat="1" x14ac:dyDescent="0.25"/>
    <row r="375" s="7" customFormat="1" x14ac:dyDescent="0.25"/>
    <row r="376" s="7" customFormat="1" x14ac:dyDescent="0.25"/>
    <row r="377" s="7" customFormat="1" x14ac:dyDescent="0.25"/>
    <row r="378" s="7" customFormat="1" x14ac:dyDescent="0.25"/>
    <row r="379" s="7" customFormat="1" x14ac:dyDescent="0.25"/>
    <row r="380" s="7" customFormat="1" x14ac:dyDescent="0.25"/>
    <row r="381" s="7" customFormat="1" x14ac:dyDescent="0.25"/>
    <row r="382" s="7" customFormat="1" x14ac:dyDescent="0.25"/>
    <row r="383" s="7" customFormat="1" x14ac:dyDescent="0.25"/>
    <row r="384" s="7" customFormat="1" x14ac:dyDescent="0.25"/>
    <row r="385" s="7" customFormat="1" x14ac:dyDescent="0.25"/>
    <row r="386" s="7" customFormat="1" x14ac:dyDescent="0.25"/>
    <row r="387" s="7" customFormat="1" x14ac:dyDescent="0.25"/>
    <row r="388" s="7" customFormat="1" x14ac:dyDescent="0.25"/>
    <row r="389" s="7" customFormat="1" x14ac:dyDescent="0.25"/>
    <row r="390" s="7" customFormat="1" x14ac:dyDescent="0.25"/>
    <row r="391" s="7" customFormat="1" x14ac:dyDescent="0.25"/>
    <row r="392" s="7" customFormat="1" x14ac:dyDescent="0.25"/>
    <row r="393" s="7" customFormat="1" x14ac:dyDescent="0.25"/>
    <row r="394" s="7" customFormat="1" x14ac:dyDescent="0.25"/>
    <row r="395" s="7" customFormat="1" x14ac:dyDescent="0.25"/>
    <row r="396" s="7" customFormat="1" x14ac:dyDescent="0.25"/>
    <row r="397" s="7" customFormat="1" x14ac:dyDescent="0.25"/>
    <row r="398" s="7" customFormat="1" x14ac:dyDescent="0.25"/>
    <row r="399" s="7" customFormat="1" x14ac:dyDescent="0.25"/>
    <row r="400" s="7" customFormat="1" x14ac:dyDescent="0.25"/>
    <row r="401" s="7" customFormat="1" x14ac:dyDescent="0.25"/>
    <row r="402" s="7" customFormat="1" x14ac:dyDescent="0.25"/>
    <row r="403" s="7" customFormat="1" x14ac:dyDescent="0.25"/>
    <row r="404" s="7" customFormat="1" x14ac:dyDescent="0.25"/>
    <row r="405" s="7" customFormat="1" x14ac:dyDescent="0.25"/>
    <row r="406" s="7" customFormat="1" x14ac:dyDescent="0.25"/>
    <row r="407" s="7" customFormat="1" x14ac:dyDescent="0.25"/>
    <row r="408" s="7" customFormat="1" x14ac:dyDescent="0.25"/>
    <row r="409" s="7" customFormat="1" x14ac:dyDescent="0.25"/>
    <row r="410" s="7" customFormat="1" x14ac:dyDescent="0.25"/>
    <row r="411" s="7" customFormat="1" x14ac:dyDescent="0.25"/>
    <row r="412" s="7" customFormat="1" x14ac:dyDescent="0.25"/>
    <row r="413" s="7" customFormat="1" x14ac:dyDescent="0.25"/>
    <row r="414" s="7" customFormat="1" x14ac:dyDescent="0.25"/>
    <row r="415" s="7" customFormat="1" x14ac:dyDescent="0.25"/>
    <row r="416" s="7" customFormat="1" x14ac:dyDescent="0.25"/>
    <row r="417" s="7" customFormat="1" x14ac:dyDescent="0.25"/>
    <row r="418" s="7" customFormat="1" x14ac:dyDescent="0.25"/>
    <row r="419" s="7" customFormat="1" x14ac:dyDescent="0.25"/>
    <row r="420" s="7" customFormat="1" x14ac:dyDescent="0.25"/>
    <row r="421" s="7" customFormat="1" x14ac:dyDescent="0.25"/>
    <row r="422" s="7" customFormat="1" x14ac:dyDescent="0.25"/>
    <row r="423" s="7" customFormat="1" x14ac:dyDescent="0.25"/>
    <row r="424" s="7" customFormat="1" x14ac:dyDescent="0.25"/>
    <row r="425" s="7" customFormat="1" x14ac:dyDescent="0.25"/>
    <row r="426" s="7" customFormat="1" x14ac:dyDescent="0.25"/>
    <row r="427" s="7" customFormat="1" x14ac:dyDescent="0.25"/>
    <row r="428" s="7" customFormat="1" x14ac:dyDescent="0.25"/>
    <row r="429" s="7" customFormat="1" x14ac:dyDescent="0.25"/>
    <row r="430" s="7" customFormat="1" x14ac:dyDescent="0.25"/>
    <row r="431" s="7" customFormat="1" x14ac:dyDescent="0.25"/>
    <row r="432" s="7" customFormat="1" x14ac:dyDescent="0.25"/>
    <row r="433" s="7" customFormat="1" x14ac:dyDescent="0.25"/>
    <row r="434" s="7" customFormat="1" x14ac:dyDescent="0.25"/>
    <row r="435" s="7" customFormat="1" x14ac:dyDescent="0.25"/>
    <row r="436" s="7" customFormat="1" x14ac:dyDescent="0.25"/>
    <row r="437" s="7" customFormat="1" x14ac:dyDescent="0.25"/>
    <row r="438" s="7" customFormat="1" x14ac:dyDescent="0.25"/>
    <row r="439" s="7" customFormat="1" x14ac:dyDescent="0.25"/>
    <row r="440" s="7" customFormat="1" x14ac:dyDescent="0.25"/>
    <row r="441" s="7" customFormat="1" x14ac:dyDescent="0.25"/>
    <row r="442" s="7" customFormat="1" x14ac:dyDescent="0.25"/>
    <row r="443" s="7" customFormat="1" x14ac:dyDescent="0.25"/>
    <row r="444" s="7" customFormat="1" x14ac:dyDescent="0.25"/>
    <row r="445" s="7" customFormat="1" x14ac:dyDescent="0.25"/>
    <row r="446" s="7" customFormat="1" x14ac:dyDescent="0.25"/>
    <row r="447" s="7" customFormat="1" x14ac:dyDescent="0.25"/>
    <row r="448" s="7" customFormat="1" x14ac:dyDescent="0.25"/>
    <row r="449" s="7" customFormat="1" x14ac:dyDescent="0.25"/>
    <row r="450" s="7" customFormat="1" x14ac:dyDescent="0.25"/>
    <row r="451" s="7" customFormat="1" x14ac:dyDescent="0.25"/>
    <row r="452" s="7" customFormat="1" x14ac:dyDescent="0.25"/>
    <row r="453" s="7" customFormat="1" x14ac:dyDescent="0.25"/>
    <row r="454" s="7" customFormat="1" x14ac:dyDescent="0.25"/>
    <row r="455" s="7" customFormat="1" x14ac:dyDescent="0.25"/>
    <row r="456" s="7" customFormat="1" x14ac:dyDescent="0.25"/>
    <row r="457" s="7" customFormat="1" x14ac:dyDescent="0.25"/>
    <row r="458" s="7" customFormat="1" x14ac:dyDescent="0.25"/>
    <row r="459" s="7" customFormat="1" x14ac:dyDescent="0.25"/>
    <row r="460" s="7" customFormat="1" x14ac:dyDescent="0.25"/>
    <row r="461" s="7" customFormat="1" x14ac:dyDescent="0.25"/>
    <row r="462" s="7" customFormat="1" x14ac:dyDescent="0.25"/>
    <row r="463" s="7" customFormat="1" x14ac:dyDescent="0.25"/>
    <row r="464" s="7" customFormat="1" x14ac:dyDescent="0.25"/>
    <row r="465" s="7" customFormat="1" x14ac:dyDescent="0.25"/>
    <row r="466" s="7" customFormat="1" x14ac:dyDescent="0.25"/>
    <row r="467" s="7" customFormat="1" x14ac:dyDescent="0.25"/>
    <row r="468" s="7" customFormat="1" x14ac:dyDescent="0.25"/>
    <row r="469" s="7" customFormat="1" x14ac:dyDescent="0.25"/>
    <row r="470" s="7" customFormat="1" x14ac:dyDescent="0.25"/>
    <row r="471" s="7" customFormat="1" x14ac:dyDescent="0.25"/>
    <row r="472" s="7" customFormat="1" x14ac:dyDescent="0.25"/>
    <row r="473" s="7" customFormat="1" x14ac:dyDescent="0.25"/>
    <row r="474" s="7" customFormat="1" x14ac:dyDescent="0.25"/>
    <row r="475" s="7" customFormat="1" x14ac:dyDescent="0.25"/>
    <row r="476" s="7" customFormat="1" x14ac:dyDescent="0.25"/>
    <row r="477" s="7" customFormat="1" x14ac:dyDescent="0.25"/>
    <row r="478" s="7" customFormat="1" x14ac:dyDescent="0.25"/>
    <row r="479" s="7" customFormat="1" x14ac:dyDescent="0.25"/>
    <row r="480" s="7" customFormat="1" x14ac:dyDescent="0.25"/>
    <row r="481" s="7" customFormat="1" x14ac:dyDescent="0.25"/>
    <row r="482" s="7" customFormat="1" x14ac:dyDescent="0.25"/>
    <row r="483" s="7" customFormat="1" x14ac:dyDescent="0.25"/>
    <row r="484" s="7" customFormat="1" x14ac:dyDescent="0.25"/>
    <row r="485" s="7" customFormat="1" x14ac:dyDescent="0.25"/>
    <row r="486" s="7" customFormat="1" x14ac:dyDescent="0.25"/>
    <row r="487" s="7" customFormat="1" x14ac:dyDescent="0.25"/>
    <row r="488" s="7" customFormat="1" x14ac:dyDescent="0.25"/>
    <row r="489" s="7" customFormat="1" x14ac:dyDescent="0.25"/>
    <row r="490" s="7" customFormat="1" x14ac:dyDescent="0.25"/>
    <row r="491" s="7" customFormat="1" x14ac:dyDescent="0.25"/>
    <row r="492" s="7" customFormat="1" x14ac:dyDescent="0.25"/>
    <row r="493" s="7" customFormat="1" x14ac:dyDescent="0.25"/>
    <row r="494" s="7" customFormat="1" x14ac:dyDescent="0.25"/>
    <row r="495" s="7" customFormat="1" x14ac:dyDescent="0.25"/>
    <row r="496" s="7" customFormat="1" x14ac:dyDescent="0.25"/>
    <row r="497" s="7" customFormat="1" x14ac:dyDescent="0.25"/>
    <row r="498" s="7" customFormat="1" x14ac:dyDescent="0.25"/>
    <row r="499" s="7" customFormat="1" x14ac:dyDescent="0.25"/>
    <row r="500" s="7" customFormat="1" x14ac:dyDescent="0.25"/>
    <row r="501" s="7" customFormat="1" x14ac:dyDescent="0.25"/>
    <row r="502" s="7" customFormat="1" x14ac:dyDescent="0.25"/>
    <row r="503" s="7" customFormat="1" x14ac:dyDescent="0.25"/>
    <row r="504" s="7" customFormat="1" x14ac:dyDescent="0.25"/>
    <row r="505" s="7" customFormat="1" x14ac:dyDescent="0.25"/>
    <row r="506" s="7" customFormat="1" x14ac:dyDescent="0.25"/>
    <row r="507" s="7" customFormat="1" x14ac:dyDescent="0.25"/>
    <row r="508" s="7" customFormat="1" x14ac:dyDescent="0.25"/>
    <row r="509" s="7" customFormat="1" x14ac:dyDescent="0.25"/>
    <row r="510" s="7" customFormat="1" x14ac:dyDescent="0.25"/>
    <row r="511" s="7" customFormat="1" x14ac:dyDescent="0.25"/>
    <row r="512" s="7" customFormat="1" x14ac:dyDescent="0.25"/>
    <row r="513" s="7" customFormat="1" x14ac:dyDescent="0.25"/>
    <row r="514" s="7" customFormat="1" x14ac:dyDescent="0.25"/>
    <row r="515" s="7" customFormat="1" x14ac:dyDescent="0.25"/>
    <row r="516" s="7" customFormat="1" x14ac:dyDescent="0.25"/>
    <row r="517" s="7" customFormat="1" x14ac:dyDescent="0.25"/>
    <row r="518" s="7" customFormat="1" x14ac:dyDescent="0.25"/>
    <row r="519" s="7" customFormat="1" x14ac:dyDescent="0.25"/>
    <row r="520" s="7" customFormat="1" x14ac:dyDescent="0.25"/>
    <row r="521" s="7" customFormat="1" x14ac:dyDescent="0.25"/>
    <row r="522" s="7" customFormat="1" x14ac:dyDescent="0.25"/>
    <row r="523" s="7" customFormat="1" x14ac:dyDescent="0.25"/>
    <row r="524" s="7" customFormat="1" x14ac:dyDescent="0.25"/>
    <row r="525" s="7" customFormat="1" x14ac:dyDescent="0.25"/>
    <row r="526" s="7" customFormat="1" x14ac:dyDescent="0.25"/>
    <row r="527" s="7" customFormat="1" x14ac:dyDescent="0.25"/>
    <row r="528" s="7" customFormat="1" x14ac:dyDescent="0.25"/>
    <row r="529" s="7" customFormat="1" x14ac:dyDescent="0.25"/>
    <row r="530" s="7" customFormat="1" x14ac:dyDescent="0.25"/>
    <row r="531" s="7" customFormat="1" x14ac:dyDescent="0.25"/>
    <row r="532" s="7" customFormat="1" x14ac:dyDescent="0.25"/>
    <row r="533" s="7" customFormat="1" x14ac:dyDescent="0.25"/>
    <row r="534" s="7" customFormat="1" x14ac:dyDescent="0.25"/>
    <row r="535" s="7" customFormat="1" x14ac:dyDescent="0.25"/>
    <row r="536" s="7" customFormat="1" x14ac:dyDescent="0.25"/>
    <row r="537" s="7" customFormat="1" x14ac:dyDescent="0.25"/>
    <row r="538" s="7" customFormat="1" x14ac:dyDescent="0.25"/>
    <row r="539" s="7" customFormat="1" x14ac:dyDescent="0.25"/>
    <row r="540" s="7" customFormat="1" x14ac:dyDescent="0.25"/>
    <row r="541" s="7" customFormat="1" x14ac:dyDescent="0.25"/>
    <row r="542" s="7" customFormat="1" x14ac:dyDescent="0.25"/>
    <row r="543" s="7" customFormat="1" x14ac:dyDescent="0.25"/>
    <row r="544" s="7" customFormat="1" x14ac:dyDescent="0.25"/>
    <row r="545" s="7" customFormat="1" x14ac:dyDescent="0.25"/>
    <row r="546" s="7" customFormat="1" x14ac:dyDescent="0.25"/>
    <row r="547" s="7" customFormat="1" x14ac:dyDescent="0.25"/>
    <row r="548" s="7" customFormat="1" x14ac:dyDescent="0.25"/>
    <row r="549" s="7" customFormat="1" x14ac:dyDescent="0.25"/>
    <row r="550" s="7" customFormat="1" x14ac:dyDescent="0.25"/>
    <row r="551" s="7" customFormat="1" x14ac:dyDescent="0.25"/>
    <row r="552" s="7" customFormat="1" x14ac:dyDescent="0.25"/>
    <row r="553" s="7" customFormat="1" x14ac:dyDescent="0.25"/>
    <row r="554" s="7" customFormat="1" x14ac:dyDescent="0.25"/>
    <row r="555" s="7" customFormat="1" x14ac:dyDescent="0.25"/>
    <row r="556" s="7" customFormat="1" x14ac:dyDescent="0.25"/>
    <row r="557" s="7" customFormat="1" x14ac:dyDescent="0.25"/>
    <row r="558" s="7" customFormat="1" x14ac:dyDescent="0.25"/>
    <row r="559" s="7" customFormat="1" x14ac:dyDescent="0.25"/>
    <row r="560" s="7" customFormat="1" x14ac:dyDescent="0.25"/>
    <row r="561" s="7" customFormat="1" x14ac:dyDescent="0.25"/>
    <row r="562" s="7" customFormat="1" x14ac:dyDescent="0.25"/>
    <row r="563" s="7" customFormat="1" x14ac:dyDescent="0.25"/>
    <row r="564" s="7" customFormat="1" x14ac:dyDescent="0.25"/>
    <row r="565" s="7" customFormat="1" x14ac:dyDescent="0.25"/>
    <row r="566" s="7" customFormat="1" x14ac:dyDescent="0.25"/>
    <row r="567" s="7" customFormat="1" x14ac:dyDescent="0.25"/>
    <row r="568" s="7" customFormat="1" x14ac:dyDescent="0.25"/>
    <row r="569" s="7" customFormat="1" x14ac:dyDescent="0.25"/>
    <row r="570" s="7" customFormat="1" x14ac:dyDescent="0.25"/>
    <row r="571" s="7" customFormat="1" x14ac:dyDescent="0.25"/>
    <row r="572" s="7" customFormat="1" x14ac:dyDescent="0.25"/>
    <row r="573" s="7" customFormat="1" x14ac:dyDescent="0.25"/>
    <row r="574" s="7" customFormat="1" x14ac:dyDescent="0.25"/>
    <row r="575" s="7" customFormat="1" x14ac:dyDescent="0.25"/>
    <row r="576" s="7" customFormat="1" x14ac:dyDescent="0.25"/>
    <row r="577" s="7" customFormat="1" x14ac:dyDescent="0.25"/>
    <row r="578" s="7" customFormat="1" x14ac:dyDescent="0.25"/>
    <row r="579" s="7" customFormat="1" x14ac:dyDescent="0.25"/>
    <row r="580" s="7" customFormat="1" x14ac:dyDescent="0.25"/>
    <row r="581" s="7" customFormat="1" x14ac:dyDescent="0.25"/>
    <row r="582" s="7" customFormat="1" x14ac:dyDescent="0.25"/>
    <row r="583" s="7" customFormat="1" x14ac:dyDescent="0.25"/>
    <row r="584" s="7" customFormat="1" x14ac:dyDescent="0.25"/>
    <row r="585" s="7" customFormat="1" x14ac:dyDescent="0.25"/>
    <row r="586" s="7" customFormat="1" x14ac:dyDescent="0.25"/>
    <row r="587" s="7" customFormat="1" x14ac:dyDescent="0.25"/>
    <row r="588" s="7" customFormat="1" x14ac:dyDescent="0.25"/>
    <row r="589" s="7" customFormat="1" x14ac:dyDescent="0.25"/>
    <row r="590" s="7" customFormat="1" x14ac:dyDescent="0.25"/>
    <row r="591" s="7" customFormat="1" x14ac:dyDescent="0.25"/>
    <row r="592" s="7" customFormat="1" x14ac:dyDescent="0.25"/>
    <row r="593" s="7" customFormat="1" x14ac:dyDescent="0.25"/>
    <row r="594" s="7" customFormat="1" x14ac:dyDescent="0.25"/>
    <row r="595" s="7" customFormat="1" x14ac:dyDescent="0.25"/>
    <row r="596" s="7" customFormat="1" x14ac:dyDescent="0.25"/>
    <row r="597" s="7" customFormat="1" x14ac:dyDescent="0.25"/>
    <row r="598" s="7" customFormat="1" x14ac:dyDescent="0.25"/>
    <row r="599" s="7" customFormat="1" x14ac:dyDescent="0.25"/>
    <row r="600" s="7" customFormat="1" x14ac:dyDescent="0.25"/>
    <row r="601" s="7" customFormat="1" x14ac:dyDescent="0.25"/>
    <row r="602" s="7" customFormat="1" x14ac:dyDescent="0.25"/>
    <row r="603" s="7" customFormat="1" x14ac:dyDescent="0.25"/>
    <row r="604" s="7" customFormat="1" x14ac:dyDescent="0.25"/>
    <row r="605" s="7" customFormat="1" x14ac:dyDescent="0.25"/>
    <row r="606" s="7" customFormat="1" x14ac:dyDescent="0.25"/>
    <row r="607" s="7" customFormat="1" x14ac:dyDescent="0.25"/>
    <row r="608" s="7" customFormat="1" x14ac:dyDescent="0.25"/>
    <row r="609" s="7" customFormat="1" x14ac:dyDescent="0.25"/>
    <row r="610" s="7" customFormat="1" x14ac:dyDescent="0.25"/>
    <row r="611" s="7" customFormat="1" x14ac:dyDescent="0.25"/>
    <row r="612" s="7" customFormat="1" x14ac:dyDescent="0.25"/>
    <row r="613" s="7" customFormat="1" x14ac:dyDescent="0.25"/>
    <row r="614" s="7" customFormat="1" x14ac:dyDescent="0.25"/>
    <row r="615" s="7" customFormat="1" x14ac:dyDescent="0.25"/>
    <row r="616" s="7" customFormat="1" x14ac:dyDescent="0.25"/>
    <row r="617" s="7" customFormat="1" x14ac:dyDescent="0.25"/>
    <row r="618" s="7" customFormat="1" x14ac:dyDescent="0.25"/>
    <row r="619" s="7" customFormat="1" x14ac:dyDescent="0.25"/>
    <row r="620" s="7" customFormat="1" x14ac:dyDescent="0.25"/>
    <row r="621" s="7" customFormat="1" x14ac:dyDescent="0.25"/>
    <row r="622" s="7" customFormat="1" x14ac:dyDescent="0.25"/>
    <row r="623" s="7" customFormat="1" x14ac:dyDescent="0.25"/>
    <row r="624" s="7" customFormat="1" x14ac:dyDescent="0.25"/>
    <row r="625" s="7" customFormat="1" x14ac:dyDescent="0.25"/>
    <row r="626" s="7" customFormat="1" x14ac:dyDescent="0.25"/>
    <row r="627" s="7" customFormat="1" x14ac:dyDescent="0.25"/>
    <row r="628" s="7" customFormat="1" x14ac:dyDescent="0.25"/>
    <row r="629" s="7" customFormat="1" x14ac:dyDescent="0.25"/>
    <row r="630" s="7" customFormat="1" x14ac:dyDescent="0.25"/>
    <row r="631" s="7" customFormat="1" x14ac:dyDescent="0.25"/>
    <row r="632" s="7" customFormat="1" x14ac:dyDescent="0.25"/>
    <row r="633" s="7" customFormat="1" x14ac:dyDescent="0.25"/>
    <row r="634" s="7" customFormat="1" x14ac:dyDescent="0.25"/>
    <row r="635" s="7" customFormat="1" x14ac:dyDescent="0.25"/>
    <row r="636" s="7" customFormat="1" x14ac:dyDescent="0.25"/>
    <row r="637" s="7" customFormat="1" x14ac:dyDescent="0.25"/>
    <row r="638" s="7" customFormat="1" x14ac:dyDescent="0.25"/>
    <row r="639" s="7" customFormat="1" x14ac:dyDescent="0.25"/>
    <row r="640" s="7" customFormat="1" x14ac:dyDescent="0.25"/>
    <row r="641" s="7" customFormat="1" x14ac:dyDescent="0.25"/>
    <row r="642" s="7" customFormat="1" x14ac:dyDescent="0.25"/>
    <row r="643" s="7" customFormat="1" x14ac:dyDescent="0.25"/>
    <row r="644" s="7" customFormat="1" x14ac:dyDescent="0.25"/>
    <row r="645" s="7" customFormat="1" x14ac:dyDescent="0.25"/>
    <row r="646" s="7" customFormat="1" x14ac:dyDescent="0.25"/>
    <row r="647" s="7" customFormat="1" x14ac:dyDescent="0.25"/>
    <row r="648" s="7" customFormat="1" x14ac:dyDescent="0.25"/>
    <row r="649" s="7" customFormat="1" x14ac:dyDescent="0.25"/>
    <row r="650" s="7" customFormat="1" x14ac:dyDescent="0.25"/>
    <row r="651" s="7" customFormat="1" x14ac:dyDescent="0.25"/>
    <row r="652" s="7" customFormat="1" x14ac:dyDescent="0.25"/>
    <row r="653" s="7" customFormat="1" x14ac:dyDescent="0.25"/>
    <row r="654" s="7" customFormat="1" x14ac:dyDescent="0.25"/>
    <row r="655" s="7" customFormat="1" x14ac:dyDescent="0.25"/>
    <row r="656" s="7" customFormat="1" x14ac:dyDescent="0.25"/>
    <row r="657" s="7" customFormat="1" x14ac:dyDescent="0.25"/>
    <row r="658" s="7" customFormat="1" x14ac:dyDescent="0.25"/>
    <row r="659" s="7" customFormat="1" x14ac:dyDescent="0.25"/>
    <row r="660" s="7" customFormat="1" x14ac:dyDescent="0.25"/>
    <row r="661" s="7" customFormat="1" x14ac:dyDescent="0.25"/>
    <row r="662" s="7" customFormat="1" x14ac:dyDescent="0.25"/>
    <row r="663" s="7" customFormat="1" x14ac:dyDescent="0.25"/>
    <row r="664" s="7" customFormat="1" x14ac:dyDescent="0.25"/>
    <row r="665" s="7" customFormat="1" x14ac:dyDescent="0.25"/>
    <row r="666" s="7" customFormat="1" x14ac:dyDescent="0.25"/>
    <row r="667" s="7" customFormat="1" x14ac:dyDescent="0.25"/>
    <row r="668" s="7" customFormat="1" x14ac:dyDescent="0.25"/>
    <row r="669" s="7" customFormat="1" x14ac:dyDescent="0.25"/>
    <row r="670" s="7" customFormat="1" x14ac:dyDescent="0.25"/>
    <row r="671" s="7" customFormat="1" x14ac:dyDescent="0.25"/>
    <row r="672" s="7" customFormat="1" x14ac:dyDescent="0.25"/>
    <row r="673" s="7" customFormat="1" x14ac:dyDescent="0.25"/>
    <row r="674" s="7" customFormat="1" x14ac:dyDescent="0.25"/>
    <row r="675" s="7" customFormat="1" x14ac:dyDescent="0.25"/>
    <row r="676" s="7" customFormat="1" x14ac:dyDescent="0.25"/>
    <row r="677" s="7" customFormat="1" x14ac:dyDescent="0.25"/>
    <row r="678" s="7" customFormat="1" x14ac:dyDescent="0.25"/>
    <row r="679" s="7" customFormat="1" x14ac:dyDescent="0.25"/>
    <row r="680" s="7" customFormat="1" x14ac:dyDescent="0.25"/>
    <row r="681" s="7" customFormat="1" x14ac:dyDescent="0.25"/>
    <row r="682" s="7" customFormat="1" x14ac:dyDescent="0.25"/>
    <row r="683" s="7" customFormat="1" x14ac:dyDescent="0.25"/>
    <row r="684" s="7" customFormat="1" x14ac:dyDescent="0.25"/>
    <row r="685" s="7" customFormat="1" x14ac:dyDescent="0.25"/>
    <row r="686" s="7" customFormat="1" x14ac:dyDescent="0.25"/>
    <row r="687" s="7" customFormat="1" x14ac:dyDescent="0.25"/>
    <row r="688" s="7" customFormat="1" x14ac:dyDescent="0.25"/>
    <row r="689" s="7" customFormat="1" x14ac:dyDescent="0.25"/>
    <row r="690" s="7" customFormat="1" x14ac:dyDescent="0.25"/>
    <row r="691" s="7" customFormat="1" x14ac:dyDescent="0.25"/>
    <row r="692" s="7" customFormat="1" x14ac:dyDescent="0.25"/>
    <row r="693" s="7" customFormat="1" x14ac:dyDescent="0.25"/>
    <row r="694" s="7" customFormat="1" x14ac:dyDescent="0.25"/>
    <row r="695" s="7" customFormat="1" x14ac:dyDescent="0.25"/>
    <row r="696" s="7" customFormat="1" x14ac:dyDescent="0.25"/>
    <row r="697" s="7" customFormat="1" x14ac:dyDescent="0.25"/>
    <row r="698" s="7" customFormat="1" x14ac:dyDescent="0.25"/>
    <row r="699" s="7" customFormat="1" x14ac:dyDescent="0.25"/>
    <row r="700" s="7" customFormat="1" x14ac:dyDescent="0.25"/>
    <row r="701" s="7" customFormat="1" x14ac:dyDescent="0.25"/>
    <row r="702" s="7" customFormat="1" x14ac:dyDescent="0.25"/>
    <row r="703" s="7" customFormat="1" x14ac:dyDescent="0.25"/>
    <row r="704" s="7" customFormat="1" x14ac:dyDescent="0.25"/>
    <row r="705" s="7" customFormat="1" x14ac:dyDescent="0.25"/>
    <row r="706" s="7" customFormat="1" x14ac:dyDescent="0.25"/>
    <row r="707" s="7" customFormat="1" x14ac:dyDescent="0.25"/>
    <row r="708" s="7" customFormat="1" x14ac:dyDescent="0.25"/>
    <row r="709" s="7" customFormat="1" x14ac:dyDescent="0.25"/>
    <row r="710" s="7" customFormat="1" x14ac:dyDescent="0.25"/>
    <row r="711" s="7" customFormat="1" x14ac:dyDescent="0.25"/>
    <row r="712" s="7" customFormat="1" x14ac:dyDescent="0.25"/>
    <row r="713" s="7" customFormat="1" x14ac:dyDescent="0.25"/>
    <row r="714" s="7" customFormat="1" x14ac:dyDescent="0.25"/>
    <row r="715" s="7" customFormat="1" x14ac:dyDescent="0.25"/>
    <row r="716" s="7" customFormat="1" x14ac:dyDescent="0.25"/>
    <row r="717" s="7" customFormat="1" x14ac:dyDescent="0.25"/>
    <row r="718" s="7" customFormat="1" x14ac:dyDescent="0.25"/>
    <row r="719" s="7" customFormat="1" x14ac:dyDescent="0.25"/>
    <row r="720" s="7" customFormat="1" x14ac:dyDescent="0.25"/>
    <row r="721" s="7" customFormat="1" x14ac:dyDescent="0.25"/>
    <row r="722" s="7" customFormat="1" x14ac:dyDescent="0.25"/>
    <row r="723" s="7" customFormat="1" x14ac:dyDescent="0.25"/>
    <row r="724" s="7" customFormat="1" x14ac:dyDescent="0.25"/>
    <row r="725" s="7" customFormat="1" x14ac:dyDescent="0.25"/>
    <row r="726" s="7" customFormat="1" x14ac:dyDescent="0.25"/>
    <row r="727" s="7" customFormat="1" x14ac:dyDescent="0.25"/>
    <row r="728" s="7" customFormat="1" x14ac:dyDescent="0.25"/>
    <row r="729" s="7" customFormat="1" x14ac:dyDescent="0.25"/>
    <row r="730" s="7" customFormat="1" x14ac:dyDescent="0.25"/>
    <row r="731" s="7" customFormat="1" x14ac:dyDescent="0.25"/>
    <row r="732" s="7" customFormat="1" x14ac:dyDescent="0.25"/>
    <row r="733" s="7" customFormat="1" x14ac:dyDescent="0.25"/>
    <row r="734" s="7" customFormat="1" x14ac:dyDescent="0.25"/>
    <row r="735" s="7" customFormat="1" x14ac:dyDescent="0.25"/>
    <row r="736" s="7" customFormat="1" x14ac:dyDescent="0.25"/>
    <row r="737" s="7" customFormat="1" x14ac:dyDescent="0.25"/>
    <row r="738" s="7" customFormat="1" x14ac:dyDescent="0.25"/>
    <row r="739" s="7" customFormat="1" x14ac:dyDescent="0.25"/>
    <row r="740" s="7" customFormat="1" x14ac:dyDescent="0.25"/>
    <row r="741" s="7" customFormat="1" x14ac:dyDescent="0.25"/>
    <row r="742" s="7" customFormat="1" x14ac:dyDescent="0.25"/>
    <row r="743" s="7" customFormat="1" x14ac:dyDescent="0.25"/>
    <row r="744" s="7" customFormat="1" x14ac:dyDescent="0.25"/>
    <row r="745" s="7" customFormat="1" x14ac:dyDescent="0.25"/>
    <row r="746" s="7" customFormat="1" x14ac:dyDescent="0.25"/>
    <row r="747" s="7" customFormat="1" x14ac:dyDescent="0.25"/>
    <row r="748" s="7" customFormat="1" x14ac:dyDescent="0.25"/>
    <row r="749" s="7" customFormat="1" x14ac:dyDescent="0.25"/>
    <row r="750" s="7" customFormat="1" x14ac:dyDescent="0.25"/>
    <row r="751" s="7" customFormat="1" x14ac:dyDescent="0.25"/>
    <row r="752" s="7" customFormat="1" x14ac:dyDescent="0.25"/>
    <row r="753" s="7" customFormat="1" x14ac:dyDescent="0.25"/>
    <row r="754" s="7" customFormat="1" x14ac:dyDescent="0.25"/>
    <row r="755" s="7" customFormat="1" x14ac:dyDescent="0.25"/>
    <row r="756" s="7" customFormat="1" x14ac:dyDescent="0.25"/>
    <row r="757" s="7" customFormat="1" x14ac:dyDescent="0.25"/>
    <row r="758" s="7" customFormat="1" x14ac:dyDescent="0.25"/>
    <row r="759" s="7" customFormat="1" x14ac:dyDescent="0.25"/>
    <row r="760" s="7" customFormat="1" x14ac:dyDescent="0.25"/>
    <row r="761" s="7" customFormat="1" x14ac:dyDescent="0.25"/>
    <row r="762" s="7" customFormat="1" x14ac:dyDescent="0.25"/>
    <row r="763" s="7" customFormat="1" x14ac:dyDescent="0.25"/>
    <row r="764" s="7" customFormat="1" x14ac:dyDescent="0.25"/>
    <row r="765" s="7" customFormat="1" x14ac:dyDescent="0.25"/>
    <row r="766" s="7" customFormat="1" x14ac:dyDescent="0.25"/>
    <row r="767" s="7" customFormat="1" x14ac:dyDescent="0.25"/>
    <row r="768" s="7" customFormat="1" x14ac:dyDescent="0.25"/>
    <row r="769" s="7" customFormat="1" x14ac:dyDescent="0.25"/>
    <row r="770" s="7" customFormat="1" x14ac:dyDescent="0.25"/>
    <row r="771" s="7" customFormat="1" x14ac:dyDescent="0.25"/>
    <row r="772" s="7" customFormat="1" x14ac:dyDescent="0.25"/>
    <row r="773" s="7" customFormat="1" x14ac:dyDescent="0.25"/>
    <row r="774" s="7" customFormat="1" x14ac:dyDescent="0.25"/>
    <row r="775" s="7" customFormat="1" x14ac:dyDescent="0.25"/>
    <row r="776" s="7" customFormat="1" x14ac:dyDescent="0.25"/>
    <row r="777" s="7" customFormat="1" x14ac:dyDescent="0.25"/>
    <row r="778" s="7" customFormat="1" x14ac:dyDescent="0.25"/>
    <row r="779" s="7" customFormat="1" x14ac:dyDescent="0.25"/>
    <row r="780" s="7" customFormat="1" x14ac:dyDescent="0.25"/>
    <row r="781" s="7" customFormat="1" x14ac:dyDescent="0.25"/>
    <row r="782" s="7" customFormat="1" x14ac:dyDescent="0.25"/>
    <row r="783" s="7" customFormat="1" x14ac:dyDescent="0.25"/>
    <row r="784" s="7" customFormat="1" x14ac:dyDescent="0.25"/>
    <row r="785" s="7" customFormat="1" x14ac:dyDescent="0.25"/>
    <row r="786" s="7" customFormat="1" x14ac:dyDescent="0.25"/>
    <row r="787" s="7" customFormat="1" x14ac:dyDescent="0.25"/>
    <row r="788" s="7" customFormat="1" x14ac:dyDescent="0.25"/>
    <row r="789" s="7" customFormat="1" x14ac:dyDescent="0.25"/>
    <row r="790" s="7" customFormat="1" x14ac:dyDescent="0.25"/>
    <row r="791" s="7" customFormat="1" x14ac:dyDescent="0.25"/>
    <row r="792" s="7" customFormat="1" x14ac:dyDescent="0.25"/>
    <row r="793" s="7" customFormat="1" x14ac:dyDescent="0.25"/>
    <row r="794" s="7" customFormat="1" x14ac:dyDescent="0.25"/>
    <row r="795" s="7" customFormat="1" x14ac:dyDescent="0.25"/>
    <row r="796" s="7" customFormat="1" x14ac:dyDescent="0.25"/>
    <row r="797" s="7" customFormat="1" x14ac:dyDescent="0.25"/>
    <row r="798" s="7" customFormat="1" x14ac:dyDescent="0.25"/>
    <row r="799" s="7" customFormat="1" x14ac:dyDescent="0.25"/>
    <row r="800" s="7" customFormat="1" x14ac:dyDescent="0.25"/>
    <row r="801" s="7" customFormat="1" x14ac:dyDescent="0.25"/>
    <row r="802" s="7" customFormat="1" x14ac:dyDescent="0.25"/>
    <row r="803" s="7" customFormat="1" x14ac:dyDescent="0.25"/>
    <row r="804" s="7" customFormat="1" x14ac:dyDescent="0.25"/>
    <row r="805" s="7" customFormat="1" x14ac:dyDescent="0.25"/>
    <row r="806" s="7" customFormat="1" x14ac:dyDescent="0.25"/>
    <row r="807" s="7" customFormat="1" x14ac:dyDescent="0.25"/>
    <row r="808" s="7" customFormat="1" x14ac:dyDescent="0.25"/>
    <row r="809" s="7" customFormat="1" x14ac:dyDescent="0.25"/>
    <row r="810" s="7" customFormat="1" x14ac:dyDescent="0.25"/>
    <row r="811" s="7" customFormat="1" x14ac:dyDescent="0.25"/>
    <row r="812" s="7" customFormat="1" x14ac:dyDescent="0.25"/>
    <row r="813" s="7" customFormat="1" x14ac:dyDescent="0.25"/>
    <row r="814" s="7" customFormat="1" x14ac:dyDescent="0.25"/>
    <row r="815" s="7" customFormat="1" x14ac:dyDescent="0.25"/>
    <row r="816" s="7" customFormat="1" x14ac:dyDescent="0.25"/>
    <row r="817" s="7" customFormat="1" x14ac:dyDescent="0.25"/>
    <row r="818" s="7" customFormat="1" x14ac:dyDescent="0.25"/>
    <row r="819" s="7" customFormat="1" x14ac:dyDescent="0.25"/>
    <row r="820" s="7" customFormat="1" x14ac:dyDescent="0.25"/>
    <row r="821" s="7" customFormat="1" x14ac:dyDescent="0.25"/>
    <row r="822" s="7" customFormat="1" x14ac:dyDescent="0.25"/>
    <row r="823" s="7" customFormat="1" x14ac:dyDescent="0.25"/>
    <row r="824" s="7" customFormat="1" x14ac:dyDescent="0.25"/>
    <row r="825" s="7" customFormat="1" x14ac:dyDescent="0.25"/>
    <row r="826" s="7" customFormat="1" x14ac:dyDescent="0.25"/>
    <row r="827" s="7" customFormat="1" x14ac:dyDescent="0.25"/>
    <row r="828" s="7" customFormat="1" x14ac:dyDescent="0.25"/>
    <row r="829" s="7" customFormat="1" x14ac:dyDescent="0.25"/>
    <row r="830" s="7" customFormat="1" x14ac:dyDescent="0.25"/>
    <row r="831" s="7" customFormat="1" x14ac:dyDescent="0.25"/>
    <row r="832" s="7" customFormat="1" x14ac:dyDescent="0.25"/>
    <row r="833" s="7" customFormat="1" x14ac:dyDescent="0.25"/>
    <row r="834" s="7" customFormat="1" x14ac:dyDescent="0.25"/>
    <row r="835" s="7" customFormat="1" x14ac:dyDescent="0.25"/>
    <row r="836" s="7" customFormat="1" x14ac:dyDescent="0.25"/>
    <row r="837" s="7" customFormat="1" x14ac:dyDescent="0.25"/>
    <row r="838" s="7" customFormat="1" x14ac:dyDescent="0.25"/>
    <row r="839" s="7" customFormat="1" x14ac:dyDescent="0.25"/>
    <row r="840" s="7" customFormat="1" x14ac:dyDescent="0.25"/>
    <row r="841" s="7" customFormat="1" x14ac:dyDescent="0.25"/>
    <row r="842" s="7" customFormat="1" x14ac:dyDescent="0.25"/>
    <row r="843" s="7" customFormat="1" x14ac:dyDescent="0.25"/>
    <row r="844" s="7" customFormat="1" x14ac:dyDescent="0.25"/>
    <row r="845" s="7" customFormat="1" x14ac:dyDescent="0.25"/>
    <row r="846" s="7" customFormat="1" x14ac:dyDescent="0.25"/>
    <row r="847" s="7" customFormat="1" x14ac:dyDescent="0.25"/>
    <row r="848" s="7" customFormat="1" x14ac:dyDescent="0.25"/>
    <row r="849" s="7" customFormat="1" x14ac:dyDescent="0.25"/>
    <row r="850" s="7" customFormat="1" x14ac:dyDescent="0.25"/>
    <row r="851" s="7" customFormat="1" x14ac:dyDescent="0.25"/>
    <row r="852" s="7" customFormat="1" x14ac:dyDescent="0.25"/>
    <row r="853" s="7" customFormat="1" x14ac:dyDescent="0.25"/>
    <row r="854" s="7" customFormat="1" x14ac:dyDescent="0.25"/>
    <row r="855" s="7" customFormat="1" x14ac:dyDescent="0.25"/>
    <row r="856" s="7" customFormat="1" x14ac:dyDescent="0.25"/>
    <row r="857" s="7" customFormat="1" x14ac:dyDescent="0.25"/>
    <row r="858" s="7" customFormat="1" x14ac:dyDescent="0.25"/>
    <row r="859" s="7" customFormat="1" x14ac:dyDescent="0.25"/>
    <row r="860" s="7" customFormat="1" x14ac:dyDescent="0.25"/>
    <row r="861" s="7" customFormat="1" x14ac:dyDescent="0.25"/>
    <row r="862" s="7" customFormat="1" x14ac:dyDescent="0.25"/>
    <row r="863" s="7" customFormat="1" x14ac:dyDescent="0.25"/>
    <row r="864" s="7" customFormat="1" x14ac:dyDescent="0.25"/>
    <row r="865" s="7" customFormat="1" x14ac:dyDescent="0.25"/>
    <row r="866" s="7" customFormat="1" x14ac:dyDescent="0.25"/>
    <row r="867" s="7" customFormat="1" x14ac:dyDescent="0.25"/>
    <row r="868" s="7" customFormat="1" x14ac:dyDescent="0.25"/>
    <row r="869" s="7" customFormat="1" x14ac:dyDescent="0.25"/>
    <row r="870" s="7" customFormat="1" x14ac:dyDescent="0.25"/>
    <row r="871" s="7" customFormat="1" x14ac:dyDescent="0.25"/>
    <row r="872" s="7" customFormat="1" x14ac:dyDescent="0.25"/>
    <row r="873" s="7" customFormat="1" x14ac:dyDescent="0.25"/>
    <row r="874" s="7" customFormat="1" x14ac:dyDescent="0.25"/>
    <row r="875" s="7" customFormat="1" x14ac:dyDescent="0.25"/>
    <row r="876" s="7" customFormat="1" x14ac:dyDescent="0.25"/>
    <row r="877" s="7" customFormat="1" x14ac:dyDescent="0.25"/>
    <row r="878" s="7" customFormat="1" x14ac:dyDescent="0.25"/>
    <row r="879" s="7" customFormat="1" x14ac:dyDescent="0.25"/>
    <row r="880" s="7" customFormat="1" x14ac:dyDescent="0.25"/>
    <row r="881" s="7" customFormat="1" x14ac:dyDescent="0.25"/>
    <row r="882" s="7" customFormat="1" x14ac:dyDescent="0.25"/>
    <row r="883" s="7" customFormat="1" x14ac:dyDescent="0.25"/>
    <row r="884" s="7" customFormat="1" x14ac:dyDescent="0.25"/>
    <row r="885" s="7" customFormat="1" x14ac:dyDescent="0.25"/>
    <row r="886" s="7" customFormat="1" x14ac:dyDescent="0.25"/>
    <row r="887" s="7" customFormat="1" x14ac:dyDescent="0.25"/>
    <row r="888" s="7" customFormat="1" x14ac:dyDescent="0.25"/>
    <row r="889" s="7" customFormat="1" x14ac:dyDescent="0.25"/>
    <row r="890" s="7" customFormat="1" x14ac:dyDescent="0.25"/>
    <row r="891" s="7" customFormat="1" x14ac:dyDescent="0.25"/>
    <row r="892" s="7" customFormat="1" x14ac:dyDescent="0.25"/>
    <row r="893" s="7" customFormat="1" x14ac:dyDescent="0.25"/>
    <row r="894" s="7" customFormat="1" x14ac:dyDescent="0.25"/>
    <row r="895" s="7" customFormat="1" x14ac:dyDescent="0.25"/>
    <row r="896" s="7" customFormat="1" x14ac:dyDescent="0.25"/>
    <row r="897" s="7" customFormat="1" x14ac:dyDescent="0.25"/>
    <row r="898" s="7" customFormat="1" x14ac:dyDescent="0.25"/>
    <row r="899" s="7" customFormat="1" x14ac:dyDescent="0.25"/>
    <row r="900" s="7" customFormat="1" x14ac:dyDescent="0.25"/>
    <row r="901" s="7" customFormat="1" x14ac:dyDescent="0.25"/>
    <row r="902" s="7" customFormat="1" x14ac:dyDescent="0.25"/>
    <row r="903" s="7" customFormat="1" x14ac:dyDescent="0.25"/>
    <row r="904" s="7" customFormat="1" x14ac:dyDescent="0.25"/>
    <row r="905" s="7" customFormat="1" x14ac:dyDescent="0.25"/>
    <row r="906" s="7" customFormat="1" x14ac:dyDescent="0.25"/>
    <row r="907" s="7" customFormat="1" x14ac:dyDescent="0.25"/>
    <row r="908" s="7" customFormat="1" x14ac:dyDescent="0.25"/>
    <row r="909" s="7" customFormat="1" x14ac:dyDescent="0.25"/>
    <row r="910" s="7" customFormat="1" x14ac:dyDescent="0.25"/>
    <row r="911" s="7" customFormat="1" x14ac:dyDescent="0.25"/>
    <row r="912" s="7" customFormat="1" x14ac:dyDescent="0.25"/>
    <row r="913" s="7" customFormat="1" x14ac:dyDescent="0.25"/>
    <row r="914" s="7" customFormat="1" x14ac:dyDescent="0.25"/>
    <row r="915" s="7" customFormat="1" x14ac:dyDescent="0.25"/>
    <row r="916" s="7" customFormat="1" x14ac:dyDescent="0.25"/>
    <row r="917" s="7" customFormat="1" x14ac:dyDescent="0.25"/>
    <row r="918" s="7" customFormat="1" x14ac:dyDescent="0.25"/>
    <row r="919" s="7" customFormat="1" x14ac:dyDescent="0.25"/>
    <row r="920" s="7" customFormat="1" x14ac:dyDescent="0.25"/>
    <row r="921" s="7" customFormat="1" x14ac:dyDescent="0.25"/>
    <row r="922" s="7" customFormat="1" x14ac:dyDescent="0.25"/>
    <row r="923" s="7" customFormat="1" x14ac:dyDescent="0.25"/>
    <row r="924" s="7" customFormat="1" x14ac:dyDescent="0.25"/>
    <row r="925" s="7" customFormat="1" x14ac:dyDescent="0.25"/>
    <row r="926" s="7" customFormat="1" x14ac:dyDescent="0.25"/>
    <row r="927" s="7" customFormat="1" x14ac:dyDescent="0.25"/>
    <row r="928" s="7" customFormat="1" x14ac:dyDescent="0.25"/>
    <row r="929" s="7" customFormat="1" x14ac:dyDescent="0.25"/>
    <row r="930" s="7" customFormat="1" x14ac:dyDescent="0.25"/>
    <row r="931" s="7" customFormat="1" x14ac:dyDescent="0.25"/>
    <row r="932" s="7" customFormat="1" x14ac:dyDescent="0.25"/>
    <row r="933" s="7" customFormat="1" x14ac:dyDescent="0.25"/>
    <row r="934" s="7" customFormat="1" x14ac:dyDescent="0.25"/>
    <row r="935" s="7" customFormat="1" x14ac:dyDescent="0.25"/>
    <row r="936" s="7" customFormat="1" x14ac:dyDescent="0.25"/>
    <row r="937" s="7" customFormat="1" x14ac:dyDescent="0.25"/>
    <row r="938" s="7" customFormat="1" x14ac:dyDescent="0.25"/>
    <row r="939" s="7" customFormat="1" x14ac:dyDescent="0.25"/>
    <row r="940" s="7" customFormat="1" x14ac:dyDescent="0.25"/>
    <row r="941" s="7" customFormat="1" x14ac:dyDescent="0.25"/>
    <row r="942" s="7" customFormat="1" x14ac:dyDescent="0.25"/>
    <row r="943" s="7" customFormat="1" x14ac:dyDescent="0.25"/>
    <row r="944" s="7" customFormat="1" x14ac:dyDescent="0.25"/>
    <row r="945" s="7" customFormat="1" x14ac:dyDescent="0.25"/>
    <row r="946" s="7" customFormat="1" x14ac:dyDescent="0.25"/>
    <row r="947" s="7" customFormat="1" x14ac:dyDescent="0.25"/>
    <row r="948" s="7" customFormat="1" x14ac:dyDescent="0.25"/>
    <row r="949" s="7" customFormat="1" x14ac:dyDescent="0.25"/>
    <row r="950" s="7" customFormat="1" x14ac:dyDescent="0.25"/>
    <row r="951" s="7" customFormat="1" x14ac:dyDescent="0.25"/>
    <row r="952" s="7" customFormat="1" x14ac:dyDescent="0.25"/>
    <row r="953" s="7" customFormat="1" x14ac:dyDescent="0.25"/>
    <row r="954" s="7" customFormat="1" x14ac:dyDescent="0.25"/>
    <row r="955" s="7" customFormat="1" x14ac:dyDescent="0.25"/>
    <row r="956" s="7" customFormat="1" x14ac:dyDescent="0.25"/>
    <row r="957" s="7" customFormat="1" x14ac:dyDescent="0.25"/>
    <row r="958" s="7" customFormat="1" x14ac:dyDescent="0.25"/>
    <row r="959" s="7" customFormat="1" x14ac:dyDescent="0.25"/>
    <row r="960" s="7" customFormat="1" x14ac:dyDescent="0.25"/>
    <row r="961" s="7" customFormat="1" x14ac:dyDescent="0.25"/>
    <row r="962" s="7" customFormat="1" x14ac:dyDescent="0.25"/>
    <row r="963" s="7" customFormat="1" x14ac:dyDescent="0.25"/>
    <row r="964" s="7" customFormat="1" x14ac:dyDescent="0.25"/>
    <row r="965" s="7" customFormat="1" x14ac:dyDescent="0.25"/>
    <row r="966" s="7" customFormat="1" x14ac:dyDescent="0.25"/>
    <row r="967" s="7" customFormat="1" x14ac:dyDescent="0.25"/>
    <row r="968" s="7" customFormat="1" x14ac:dyDescent="0.25"/>
    <row r="969" s="7" customFormat="1" x14ac:dyDescent="0.25"/>
    <row r="970" s="7" customFormat="1" x14ac:dyDescent="0.25"/>
    <row r="971" s="7" customFormat="1" x14ac:dyDescent="0.25"/>
    <row r="972" s="7" customFormat="1" x14ac:dyDescent="0.25"/>
    <row r="973" s="7" customFormat="1" x14ac:dyDescent="0.25"/>
    <row r="974" s="7" customFormat="1" x14ac:dyDescent="0.25"/>
    <row r="975" s="7" customFormat="1" x14ac:dyDescent="0.25"/>
    <row r="976" s="7" customFormat="1" x14ac:dyDescent="0.25"/>
    <row r="977" s="7" customFormat="1" x14ac:dyDescent="0.25"/>
    <row r="978" s="7" customFormat="1" x14ac:dyDescent="0.25"/>
    <row r="979" s="7" customFormat="1" x14ac:dyDescent="0.25"/>
    <row r="980" s="7" customFormat="1" x14ac:dyDescent="0.25"/>
    <row r="981" s="7" customFormat="1" x14ac:dyDescent="0.25"/>
    <row r="982" s="7" customFormat="1" x14ac:dyDescent="0.25"/>
    <row r="983" s="7" customFormat="1" x14ac:dyDescent="0.25"/>
    <row r="984" s="7" customFormat="1" x14ac:dyDescent="0.25"/>
    <row r="985" s="7" customFormat="1" x14ac:dyDescent="0.25"/>
    <row r="986" s="7" customFormat="1" x14ac:dyDescent="0.25"/>
    <row r="987" s="7" customFormat="1" x14ac:dyDescent="0.25"/>
    <row r="988" s="7" customFormat="1" x14ac:dyDescent="0.25"/>
    <row r="989" s="7" customFormat="1" x14ac:dyDescent="0.25"/>
    <row r="990" s="7" customFormat="1" x14ac:dyDescent="0.25"/>
    <row r="991" s="7" customFormat="1" x14ac:dyDescent="0.25"/>
    <row r="992" s="7" customFormat="1" x14ac:dyDescent="0.25"/>
    <row r="993" s="7" customFormat="1" x14ac:dyDescent="0.25"/>
    <row r="994" s="7" customFormat="1" x14ac:dyDescent="0.25"/>
    <row r="995" s="7" customFormat="1" x14ac:dyDescent="0.25"/>
    <row r="996" s="7" customFormat="1" x14ac:dyDescent="0.25"/>
    <row r="997" s="7" customFormat="1" x14ac:dyDescent="0.25"/>
    <row r="998" s="7" customFormat="1" x14ac:dyDescent="0.25"/>
    <row r="999" s="7" customFormat="1" x14ac:dyDescent="0.25"/>
    <row r="1000" s="7" customFormat="1" x14ac:dyDescent="0.25"/>
    <row r="1001" s="7" customFormat="1" x14ac:dyDescent="0.25"/>
    <row r="1002" s="7" customFormat="1" x14ac:dyDescent="0.25"/>
    <row r="1003" s="7" customFormat="1" x14ac:dyDescent="0.25"/>
    <row r="1004" s="7" customFormat="1" x14ac:dyDescent="0.25"/>
    <row r="1005" s="7" customFormat="1" x14ac:dyDescent="0.25"/>
    <row r="1006" s="7" customFormat="1" x14ac:dyDescent="0.25"/>
    <row r="1007" s="7" customFormat="1" x14ac:dyDescent="0.25"/>
    <row r="1008" s="7" customFormat="1" x14ac:dyDescent="0.25"/>
    <row r="1009" s="7" customFormat="1" x14ac:dyDescent="0.25"/>
    <row r="1010" s="7" customFormat="1" x14ac:dyDescent="0.25"/>
    <row r="1011" s="7" customFormat="1" x14ac:dyDescent="0.25"/>
    <row r="1012" s="7" customFormat="1" x14ac:dyDescent="0.25"/>
    <row r="1013" s="7" customFormat="1" x14ac:dyDescent="0.25"/>
    <row r="1014" s="7" customFormat="1" x14ac:dyDescent="0.25"/>
    <row r="1015" s="7" customFormat="1" x14ac:dyDescent="0.25"/>
    <row r="1016" s="7" customFormat="1" x14ac:dyDescent="0.25"/>
    <row r="1017" s="7" customFormat="1" x14ac:dyDescent="0.25"/>
    <row r="1018" s="7" customFormat="1" x14ac:dyDescent="0.25"/>
    <row r="1019" s="7" customFormat="1" x14ac:dyDescent="0.25"/>
    <row r="1020" s="7" customFormat="1" x14ac:dyDescent="0.25"/>
    <row r="1021" s="7" customFormat="1" x14ac:dyDescent="0.25"/>
    <row r="1022" s="7" customFormat="1" x14ac:dyDescent="0.25"/>
    <row r="1023" s="7" customFormat="1" x14ac:dyDescent="0.25"/>
    <row r="1422" spans="6:7" x14ac:dyDescent="0.25">
      <c r="F1422" s="1" t="s">
        <v>35</v>
      </c>
      <c r="G1422" s="1">
        <f>COUNTIF(A1:A210,"C*")</f>
        <v>7</v>
      </c>
    </row>
    <row r="2125" spans="6:7" x14ac:dyDescent="0.25">
      <c r="F2125" s="1" t="s">
        <v>36</v>
      </c>
      <c r="G2125" s="1">
        <f>COUNTIF(A1:A210,"D*")</f>
        <v>28</v>
      </c>
    </row>
    <row r="2828" spans="6:7" x14ac:dyDescent="0.25">
      <c r="F2828" s="1" t="s">
        <v>37</v>
      </c>
      <c r="G2828" s="1">
        <f>COUNTIF(A1:A210,"E*")</f>
        <v>0</v>
      </c>
    </row>
    <row r="3531" spans="6:7" x14ac:dyDescent="0.25">
      <c r="F3531" s="1" t="s">
        <v>38</v>
      </c>
      <c r="G3531" s="1">
        <f>COUNTIF(A1:A210,"F*")</f>
        <v>0</v>
      </c>
    </row>
    <row r="4234" spans="6:7" x14ac:dyDescent="0.25">
      <c r="F4234" s="1" t="s">
        <v>39</v>
      </c>
      <c r="G4234" s="1">
        <f>COUNTIF(A1:A210,"G*")</f>
        <v>14</v>
      </c>
    </row>
    <row r="4937" spans="6:7" x14ac:dyDescent="0.25">
      <c r="F4937" s="1" t="s">
        <v>40</v>
      </c>
      <c r="G4937" s="1">
        <f>COUNTIF(A1:A210,"H*")</f>
        <v>42</v>
      </c>
    </row>
    <row r="5640" spans="6:7" x14ac:dyDescent="0.25">
      <c r="F5640" s="1" t="s">
        <v>41</v>
      </c>
      <c r="G5640" s="1">
        <f>COUNTIF(A1:A210,"I*")</f>
        <v>0</v>
      </c>
    </row>
    <row r="6343" spans="6:7" x14ac:dyDescent="0.25">
      <c r="F6343" s="1" t="s">
        <v>42</v>
      </c>
      <c r="G6343" s="1">
        <f>COUNTIF(A1:A210,"J*")</f>
        <v>7</v>
      </c>
    </row>
    <row r="7046" spans="6:7" x14ac:dyDescent="0.25">
      <c r="F7046" s="1" t="s">
        <v>43</v>
      </c>
      <c r="G7046" s="1">
        <f>COUNTIF(A1:A210,"K*")</f>
        <v>0</v>
      </c>
    </row>
    <row r="7749" spans="6:7" x14ac:dyDescent="0.25">
      <c r="F7749" s="1" t="s">
        <v>44</v>
      </c>
      <c r="G7749" s="1">
        <f>COUNTIF(A1:A210,"L*")</f>
        <v>7</v>
      </c>
    </row>
    <row r="8452" spans="6:7" x14ac:dyDescent="0.25">
      <c r="F8452" s="1" t="s">
        <v>45</v>
      </c>
      <c r="G8452" s="1">
        <f>COUNTIF(A1:A210,"M*")</f>
        <v>7</v>
      </c>
    </row>
    <row r="9155" spans="6:7" x14ac:dyDescent="0.25">
      <c r="F9155" s="1" t="s">
        <v>46</v>
      </c>
      <c r="G9155" s="1">
        <f>COUNTIF(A1:A210,"N*")</f>
        <v>14</v>
      </c>
    </row>
    <row r="9858" spans="6:7" x14ac:dyDescent="0.25">
      <c r="F9858" s="1" t="s">
        <v>47</v>
      </c>
      <c r="G9858" s="1">
        <f>COUNTIF(A1:A210,"O*")</f>
        <v>0</v>
      </c>
    </row>
    <row r="10561" spans="6:7" x14ac:dyDescent="0.25">
      <c r="F10561" s="1" t="s">
        <v>48</v>
      </c>
      <c r="G10561" s="1">
        <f>COUNTIF(A1:A210,"P*")</f>
        <v>0</v>
      </c>
    </row>
    <row r="11264" spans="6:7" x14ac:dyDescent="0.25">
      <c r="F11264" s="1" t="s">
        <v>49</v>
      </c>
      <c r="G11264" s="1">
        <f>COUNTIF(A1:A210,"Q*")</f>
        <v>0</v>
      </c>
    </row>
    <row r="11967" spans="6:7" x14ac:dyDescent="0.25">
      <c r="F11967" s="1" t="s">
        <v>50</v>
      </c>
      <c r="G11967" s="1">
        <f>COUNTIF(A1:A210,"R*")</f>
        <v>7</v>
      </c>
    </row>
    <row r="12670" spans="6:7" x14ac:dyDescent="0.25">
      <c r="F12670" s="1" t="s">
        <v>51</v>
      </c>
      <c r="G12670" s="1">
        <f>COUNTIF(A1:A210,"S*")</f>
        <v>28</v>
      </c>
    </row>
    <row r="13373" spans="6:7" x14ac:dyDescent="0.25">
      <c r="F13373" s="1" t="s">
        <v>52</v>
      </c>
      <c r="G13373" s="1">
        <f>COUNTIF(A1:A210,"T*")</f>
        <v>21</v>
      </c>
    </row>
    <row r="14076" spans="6:7" x14ac:dyDescent="0.25">
      <c r="F14076" s="1" t="s">
        <v>53</v>
      </c>
      <c r="G14076" s="1">
        <f>COUNTIF(A1:A210,"U*")</f>
        <v>0</v>
      </c>
    </row>
    <row r="14779" spans="6:7" x14ac:dyDescent="0.25">
      <c r="F14779" s="1" t="s">
        <v>54</v>
      </c>
      <c r="G14779" s="1">
        <f>COUNTIF(A1:A210,"V*")</f>
        <v>0</v>
      </c>
    </row>
    <row r="15482" spans="6:7" x14ac:dyDescent="0.25">
      <c r="F15482" s="1" t="s">
        <v>55</v>
      </c>
      <c r="G15482" s="1">
        <f>COUNTIF(A1:A210,"W*")</f>
        <v>0</v>
      </c>
    </row>
    <row r="16185" spans="6:7" x14ac:dyDescent="0.25">
      <c r="F16185" s="1" t="s">
        <v>56</v>
      </c>
      <c r="G16185" s="1">
        <f>COUNTIF(A1:A210,"X*")</f>
        <v>0</v>
      </c>
    </row>
    <row r="16888" spans="6:7" x14ac:dyDescent="0.25">
      <c r="F16888" s="1" t="s">
        <v>57</v>
      </c>
      <c r="G16888" s="1">
        <f>COUNTIF(A1:A210,"Y*")</f>
        <v>0</v>
      </c>
    </row>
    <row r="17591" spans="6:7" x14ac:dyDescent="0.25">
      <c r="F17591" s="1" t="s">
        <v>58</v>
      </c>
      <c r="G17591" s="1">
        <f>COUNTIF(A1:A210,"Z*")</f>
        <v>0</v>
      </c>
    </row>
    <row r="18295" spans="6:7" x14ac:dyDescent="0.25">
      <c r="F18295" s="1" t="s">
        <v>34</v>
      </c>
      <c r="G18295" s="1">
        <f>COUNTIF(A1:A210,"B*")</f>
        <v>21</v>
      </c>
    </row>
  </sheetData>
  <autoFilter ref="A1:A18295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usagers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Frédérick Mur</dc:creator>
  <cp:lastModifiedBy>Frédérick Mur</cp:lastModifiedBy>
  <dcterms:created xsi:type="dcterms:W3CDTF">2022-11-20T10:38:06Z</dcterms:created>
  <dcterms:modified xsi:type="dcterms:W3CDTF">2022-11-21T21:46:04Z</dcterms:modified>
</cp:coreProperties>
</file>