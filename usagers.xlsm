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90" windowWidth="21315" windowHeight="8775"/>
  </bookViews>
  <sheets>
    <sheet name="usagers" sheetId="1" r:id="rId1"/>
  </sheets>
  <definedNames>
    <definedName name="_xlnm._FilterDatabase" localSheetId="0" hidden="1">usagers!$A$1:$A$18295</definedName>
  </definedNames>
  <calcPr calcId="144525"/>
</workbook>
</file>

<file path=xl/calcChain.xml><?xml version="1.0" encoding="utf-8"?>
<calcChain xmlns="http://schemas.openxmlformats.org/spreadsheetml/2006/main">
  <c r="I716" i="1" l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42" i="1" l="1"/>
  <c r="F9" i="1"/>
  <c r="G17591" i="1" l="1"/>
  <c r="G16888" i="1"/>
  <c r="G16185" i="1"/>
  <c r="G15482" i="1"/>
  <c r="G14779" i="1"/>
  <c r="G14076" i="1"/>
  <c r="G13373" i="1"/>
  <c r="G12670" i="1"/>
  <c r="G11967" i="1"/>
  <c r="G11264" i="1"/>
  <c r="G10561" i="1"/>
  <c r="G9858" i="1"/>
  <c r="G9155" i="1"/>
  <c r="G8452" i="1"/>
  <c r="G7749" i="1"/>
  <c r="G7046" i="1"/>
  <c r="G6343" i="1"/>
  <c r="G5640" i="1"/>
  <c r="G4937" i="1"/>
  <c r="G4234" i="1"/>
  <c r="G3531" i="1"/>
  <c r="G2828" i="1"/>
  <c r="G2125" i="1"/>
  <c r="G1422" i="1"/>
  <c r="G18295" i="1"/>
</calcChain>
</file>

<file path=xl/sharedStrings.xml><?xml version="1.0" encoding="utf-8"?>
<sst xmlns="http://schemas.openxmlformats.org/spreadsheetml/2006/main" count="944" uniqueCount="739">
  <si>
    <t>Hochon</t>
  </si>
  <si>
    <t>Audine</t>
  </si>
  <si>
    <t>Rouana</t>
  </si>
  <si>
    <t>Hamalibou</t>
  </si>
  <si>
    <t>Céhef</t>
  </si>
  <si>
    <t>Galls</t>
  </si>
  <si>
    <t>Houda</t>
  </si>
  <si>
    <t>Tatouille</t>
  </si>
  <si>
    <t>Sille</t>
  </si>
  <si>
    <t>Bernard</t>
  </si>
  <si>
    <t>Maurice</t>
  </si>
  <si>
    <t>Bonbeur</t>
  </si>
  <si>
    <t>Hèresse</t>
  </si>
  <si>
    <t>Noix</t>
  </si>
  <si>
    <t>Gature</t>
  </si>
  <si>
    <t>De MontéCarlo</t>
  </si>
  <si>
    <t>Hénéré</t>
  </si>
  <si>
    <t>Sansasse</t>
  </si>
  <si>
    <t>Thine</t>
  </si>
  <si>
    <t>Solo</t>
  </si>
  <si>
    <t>Jet</t>
  </si>
  <si>
    <t>Braltar</t>
  </si>
  <si>
    <t>Douche</t>
  </si>
  <si>
    <t>Sarbaque</t>
  </si>
  <si>
    <t>Lile</t>
  </si>
  <si>
    <t>Doeuf</t>
  </si>
  <si>
    <t>Niomme</t>
  </si>
  <si>
    <t>Honnête</t>
  </si>
  <si>
    <t>Tomette</t>
  </si>
  <si>
    <t>Dagin</t>
  </si>
  <si>
    <t>NB Instr.</t>
  </si>
  <si>
    <t>NB dossiers par instructrice</t>
  </si>
  <si>
    <t>Répartition alphabétique</t>
  </si>
  <si>
    <t>Arrangements alphabétiques</t>
  </si>
  <si>
    <t xml:space="preserve"> Résultats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</si>
  <si>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</si>
  <si>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</si>
  <si>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</si>
  <si>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</si>
  <si>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</si>
  <si>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</si>
  <si>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</si>
  <si>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</si>
  <si>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</si>
  <si>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</si>
  <si>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</si>
  <si>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</si>
  <si>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</si>
  <si>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</si>
  <si>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</si>
  <si>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</si>
  <si>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</si>
  <si>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</si>
  <si>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</si>
  <si>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</si>
  <si>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</si>
  <si>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</si>
  <si>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</si>
  <si>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</si>
  <si>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</si>
  <si>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</si>
  <si>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</si>
  <si>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BB</t>
  </si>
  <si>
    <t>CC</t>
  </si>
  <si>
    <t>DD</t>
  </si>
  <si>
    <t>EE</t>
  </si>
  <si>
    <t>FF</t>
  </si>
  <si>
    <t>GG</t>
  </si>
  <si>
    <t>HH</t>
  </si>
  <si>
    <t>NN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</si>
  <si>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</si>
  <si>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</si>
  <si>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</si>
  <si>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</si>
  <si>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</si>
  <si>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</si>
  <si>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</si>
  <si>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</si>
  <si>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</si>
  <si>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</si>
  <si>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</si>
  <si>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</si>
  <si>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</si>
  <si>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</si>
  <si>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</si>
  <si>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</si>
  <si>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</si>
  <si>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</si>
  <si>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</si>
  <si>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</si>
  <si>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</si>
  <si>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</si>
  <si>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</si>
  <si>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</si>
  <si>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</si>
  <si>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</si>
  <si>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</si>
  <si>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</si>
  <si>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</si>
  <si>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</si>
  <si>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</si>
  <si>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</si>
  <si>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</si>
  <si>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</si>
  <si>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</si>
  <si>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</si>
  <si>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</si>
  <si>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</si>
  <si>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</si>
  <si>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</si>
  <si>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</si>
  <si>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</si>
  <si>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</si>
  <si>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</si>
  <si>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</si>
  <si>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</si>
  <si>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</si>
  <si>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</si>
  <si>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</si>
  <si>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</si>
  <si>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</si>
  <si>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CB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</si>
  <si>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</si>
  <si>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</si>
  <si>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</si>
  <si>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</si>
  <si>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</si>
  <si>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</si>
  <si>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</si>
  <si>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</si>
  <si>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</si>
  <si>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</si>
  <si>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</si>
  <si>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</si>
  <si>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</si>
  <si>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</si>
  <si>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</si>
  <si>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</si>
  <si>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</si>
  <si>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</si>
  <si>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</si>
  <si>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</si>
  <si>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</si>
  <si>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</si>
  <si>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</si>
  <si>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</si>
  <si>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</si>
  <si>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</si>
  <si>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</si>
  <si>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</si>
  <si>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</si>
  <si>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</si>
  <si>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</si>
  <si>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</si>
  <si>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</si>
  <si>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</si>
  <si>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</si>
  <si>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</si>
  <si>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</si>
  <si>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</si>
  <si>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</si>
  <si>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</si>
  <si>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</si>
  <si>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</si>
  <si>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</si>
  <si>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</si>
  <si>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</si>
  <si>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</si>
  <si>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</si>
  <si>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</si>
  <si>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</si>
  <si>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</si>
  <si>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</si>
  <si>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</si>
  <si>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</si>
  <si>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</si>
  <si>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</si>
  <si>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</si>
  <si>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</si>
  <si>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</si>
  <si>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</si>
  <si>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</si>
  <si>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</si>
  <si>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</si>
  <si>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</si>
  <si>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</si>
  <si>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</si>
  <si>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</si>
  <si>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</si>
  <si>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</si>
  <si>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</si>
  <si>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</si>
  <si>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</si>
  <si>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</si>
  <si>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</si>
  <si>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</si>
  <si>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</si>
  <si>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</si>
  <si>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</si>
  <si>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</si>
  <si>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</si>
  <si>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</si>
  <si>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</si>
  <si>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</si>
  <si>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</si>
  <si>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</si>
  <si>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</si>
  <si>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</si>
  <si>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</si>
  <si>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</si>
  <si>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</si>
  <si>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</si>
  <si>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</si>
  <si>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</si>
  <si>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</si>
  <si>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</si>
  <si>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</si>
  <si>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</si>
  <si>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</si>
  <si>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</si>
  <si>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</si>
  <si>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</si>
  <si>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</si>
  <si>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</si>
  <si>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</si>
  <si>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</si>
  <si>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GH</t>
  </si>
  <si>
    <t>GI</t>
  </si>
  <si>
    <t>GJ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</si>
  <si>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</si>
  <si>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</si>
  <si>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</si>
  <si>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</si>
  <si>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</si>
  <si>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</si>
  <si>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</si>
  <si>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</si>
  <si>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</si>
  <si>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</si>
  <si>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</si>
  <si>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</si>
  <si>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</si>
  <si>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</si>
  <si>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</si>
  <si>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</si>
  <si>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HA</t>
  </si>
  <si>
    <t>HB</t>
  </si>
  <si>
    <t>HC</t>
  </si>
  <si>
    <t>HD</t>
  </si>
  <si>
    <t>HE</t>
  </si>
  <si>
    <t>HF</t>
  </si>
  <si>
    <t>HG</t>
  </si>
  <si>
    <t>HI</t>
  </si>
  <si>
    <t>HJ</t>
  </si>
  <si>
    <t>HK</t>
  </si>
  <si>
    <t>HL</t>
  </si>
  <si>
    <t>HM</t>
  </si>
  <si>
    <t>HN</t>
  </si>
  <si>
    <t>IN</t>
  </si>
  <si>
    <t>JN</t>
  </si>
  <si>
    <t>KN</t>
  </si>
  <si>
    <t>LN</t>
  </si>
  <si>
    <t>MN</t>
  </si>
  <si>
    <t>ON</t>
  </si>
  <si>
    <t>PN</t>
  </si>
  <si>
    <t>QN</t>
  </si>
  <si>
    <t>RN</t>
  </si>
  <si>
    <t>SN</t>
  </si>
  <si>
    <t>TN</t>
  </si>
  <si>
    <t>UN</t>
  </si>
  <si>
    <t>VN</t>
  </si>
  <si>
    <t>WN</t>
  </si>
  <si>
    <t>XN</t>
  </si>
  <si>
    <t>YN</t>
  </si>
  <si>
    <t>ZN</t>
  </si>
  <si>
    <t>Quantités par Instrcutrice</t>
  </si>
  <si>
    <t>HO</t>
  </si>
  <si>
    <t>HP</t>
  </si>
  <si>
    <t>HQ</t>
  </si>
  <si>
    <t>HR</t>
  </si>
  <si>
    <t>HS</t>
  </si>
  <si>
    <t>HT</t>
  </si>
  <si>
    <t>HU</t>
  </si>
  <si>
    <t>HV</t>
  </si>
  <si>
    <t>HW</t>
  </si>
  <si>
    <t>HX</t>
  </si>
  <si>
    <t>HY</t>
  </si>
  <si>
    <t>HZ</t>
  </si>
  <si>
    <t>IA</t>
  </si>
  <si>
    <t>IB</t>
  </si>
  <si>
    <t>IC</t>
  </si>
  <si>
    <t>ID</t>
  </si>
  <si>
    <t>IE</t>
  </si>
  <si>
    <t>IF</t>
  </si>
  <si>
    <t>IG</t>
  </si>
  <si>
    <t>IH</t>
  </si>
  <si>
    <t>II</t>
  </si>
  <si>
    <t>IJ</t>
  </si>
  <si>
    <t>IK</t>
  </si>
  <si>
    <t>IL</t>
  </si>
  <si>
    <t>IM</t>
  </si>
  <si>
    <t>IO</t>
  </si>
  <si>
    <t>IP</t>
  </si>
  <si>
    <t>IQ</t>
  </si>
  <si>
    <t>IR</t>
  </si>
  <si>
    <t>IS</t>
  </si>
  <si>
    <t>IT</t>
  </si>
  <si>
    <t>IU</t>
  </si>
  <si>
    <t>IV</t>
  </si>
  <si>
    <t>IW</t>
  </si>
  <si>
    <t>IX</t>
  </si>
  <si>
    <t>IY</t>
  </si>
  <si>
    <t>IZ</t>
  </si>
  <si>
    <t>JA</t>
  </si>
  <si>
    <t>JB</t>
  </si>
  <si>
    <t>JC</t>
  </si>
  <si>
    <t>JD</t>
  </si>
  <si>
    <t>JE</t>
  </si>
  <si>
    <t>JF</t>
  </si>
  <si>
    <t>JG</t>
  </si>
  <si>
    <t>JH</t>
  </si>
  <si>
    <t>JI</t>
  </si>
  <si>
    <t>JJ</t>
  </si>
  <si>
    <t>JK</t>
  </si>
  <si>
    <t>JL</t>
  </si>
  <si>
    <t>JM</t>
  </si>
  <si>
    <t>JO</t>
  </si>
  <si>
    <t>JP</t>
  </si>
  <si>
    <t>JQ</t>
  </si>
  <si>
    <t>JR</t>
  </si>
  <si>
    <t>JS</t>
  </si>
  <si>
    <t>JT</t>
  </si>
  <si>
    <t>JU</t>
  </si>
  <si>
    <t>JV</t>
  </si>
  <si>
    <t>JW</t>
  </si>
  <si>
    <t>JX</t>
  </si>
  <si>
    <t>JY</t>
  </si>
  <si>
    <t>JZ</t>
  </si>
  <si>
    <t>KA</t>
  </si>
  <si>
    <t>KB</t>
  </si>
  <si>
    <t>KC</t>
  </si>
  <si>
    <t>KD</t>
  </si>
  <si>
    <t>KE</t>
  </si>
  <si>
    <t>KF</t>
  </si>
  <si>
    <t>KG</t>
  </si>
  <si>
    <t>KH</t>
  </si>
  <si>
    <t>KI</t>
  </si>
  <si>
    <t>KJ</t>
  </si>
  <si>
    <t>KK</t>
  </si>
  <si>
    <t>KL</t>
  </si>
  <si>
    <t>KM</t>
  </si>
  <si>
    <t>KO</t>
  </si>
  <si>
    <t>KP</t>
  </si>
  <si>
    <t>KQ</t>
  </si>
  <si>
    <t>KR</t>
  </si>
  <si>
    <t>KS</t>
  </si>
  <si>
    <t>KT</t>
  </si>
  <si>
    <t>KU</t>
  </si>
  <si>
    <t>KV</t>
  </si>
  <si>
    <t>KW</t>
  </si>
  <si>
    <t>KX</t>
  </si>
  <si>
    <t>KY</t>
  </si>
  <si>
    <t>KZ</t>
  </si>
  <si>
    <t>LA</t>
  </si>
  <si>
    <t>LB</t>
  </si>
  <si>
    <t>LC</t>
  </si>
  <si>
    <t>LD</t>
  </si>
  <si>
    <t>LE</t>
  </si>
  <si>
    <t>LF</t>
  </si>
  <si>
    <t>LG</t>
  </si>
  <si>
    <t>LH</t>
  </si>
  <si>
    <t>LI</t>
  </si>
  <si>
    <t>LJ</t>
  </si>
  <si>
    <t>LK</t>
  </si>
  <si>
    <t>LL</t>
  </si>
  <si>
    <t>LM</t>
  </si>
  <si>
    <t>LO</t>
  </si>
  <si>
    <t>LP</t>
  </si>
  <si>
    <t>LQ</t>
  </si>
  <si>
    <t>LR</t>
  </si>
  <si>
    <t>LS</t>
  </si>
  <si>
    <t>LT</t>
  </si>
  <si>
    <t>LU</t>
  </si>
  <si>
    <t>LV</t>
  </si>
  <si>
    <t>LW</t>
  </si>
  <si>
    <t>LX</t>
  </si>
  <si>
    <t>LY</t>
  </si>
  <si>
    <t>LZ</t>
  </si>
  <si>
    <t>MA</t>
  </si>
  <si>
    <t>MB</t>
  </si>
  <si>
    <t>MC</t>
  </si>
  <si>
    <t>MD</t>
  </si>
  <si>
    <t>ME</t>
  </si>
  <si>
    <t>MF</t>
  </si>
  <si>
    <t>MG</t>
  </si>
  <si>
    <t>MH</t>
  </si>
  <si>
    <t>MI</t>
  </si>
  <si>
    <t>MJ</t>
  </si>
  <si>
    <t>MK</t>
  </si>
  <si>
    <t>ML</t>
  </si>
  <si>
    <t>MM</t>
  </si>
  <si>
    <t>MO</t>
  </si>
  <si>
    <t>MP</t>
  </si>
  <si>
    <t>MQ</t>
  </si>
  <si>
    <t>MR</t>
  </si>
  <si>
    <t>MS</t>
  </si>
  <si>
    <t>MT</t>
  </si>
  <si>
    <t>MU</t>
  </si>
  <si>
    <t>MV</t>
  </si>
  <si>
    <t>MW</t>
  </si>
  <si>
    <t>MX</t>
  </si>
  <si>
    <t>MY</t>
  </si>
  <si>
    <t>MZ</t>
  </si>
  <si>
    <t>NA</t>
  </si>
  <si>
    <t>NB</t>
  </si>
  <si>
    <t>NC</t>
  </si>
  <si>
    <t>ND</t>
  </si>
  <si>
    <t>NE</t>
  </si>
  <si>
    <t>NF</t>
  </si>
  <si>
    <t>NG</t>
  </si>
  <si>
    <t>NH</t>
  </si>
  <si>
    <t>NI</t>
  </si>
  <si>
    <t>NJ</t>
  </si>
  <si>
    <t>NK</t>
  </si>
  <si>
    <t>NL</t>
  </si>
  <si>
    <t>NM</t>
  </si>
  <si>
    <t>NO</t>
  </si>
  <si>
    <t>NP</t>
  </si>
  <si>
    <t>NQ</t>
  </si>
  <si>
    <t>NR</t>
  </si>
  <si>
    <t>NS</t>
  </si>
  <si>
    <t>NT</t>
  </si>
  <si>
    <t>NU</t>
  </si>
  <si>
    <t>NV</t>
  </si>
  <si>
    <t>NW</t>
  </si>
  <si>
    <t>NX</t>
  </si>
  <si>
    <t>NY</t>
  </si>
  <si>
    <t>NZ</t>
  </si>
  <si>
    <t>OA</t>
  </si>
  <si>
    <t>OB</t>
  </si>
  <si>
    <t>OC</t>
  </si>
  <si>
    <t>OD</t>
  </si>
  <si>
    <t>OE</t>
  </si>
  <si>
    <t>OF</t>
  </si>
  <si>
    <t>OG</t>
  </si>
  <si>
    <t>OH</t>
  </si>
  <si>
    <t>OI</t>
  </si>
  <si>
    <t>OJ</t>
  </si>
  <si>
    <t>OK</t>
  </si>
  <si>
    <t>OL</t>
  </si>
  <si>
    <t>OM</t>
  </si>
  <si>
    <t>OO</t>
  </si>
  <si>
    <t>OP</t>
  </si>
  <si>
    <t>OQ</t>
  </si>
  <si>
    <t>OR</t>
  </si>
  <si>
    <t>OS</t>
  </si>
  <si>
    <t>OT</t>
  </si>
  <si>
    <t>OU</t>
  </si>
  <si>
    <t>OV</t>
  </si>
  <si>
    <t>OW</t>
  </si>
  <si>
    <t>OX</t>
  </si>
  <si>
    <t>OY</t>
  </si>
  <si>
    <t>OZ</t>
  </si>
  <si>
    <t>PA</t>
  </si>
  <si>
    <t>PB</t>
  </si>
  <si>
    <t>PC</t>
  </si>
  <si>
    <t>PD</t>
  </si>
  <si>
    <t>PE</t>
  </si>
  <si>
    <t>PF</t>
  </si>
  <si>
    <t>PG</t>
  </si>
  <si>
    <t>PH</t>
  </si>
  <si>
    <t>PI</t>
  </si>
  <si>
    <t>PJ</t>
  </si>
  <si>
    <t>PK</t>
  </si>
  <si>
    <t>PL</t>
  </si>
  <si>
    <t>PM</t>
  </si>
  <si>
    <t>PO</t>
  </si>
  <si>
    <t>PP</t>
  </si>
  <si>
    <t>PQ</t>
  </si>
  <si>
    <t>PR</t>
  </si>
  <si>
    <t>PS</t>
  </si>
  <si>
    <t>PT</t>
  </si>
  <si>
    <t>PU</t>
  </si>
  <si>
    <t>PV</t>
  </si>
  <si>
    <t>PW</t>
  </si>
  <si>
    <t>PX</t>
  </si>
  <si>
    <t>PY</t>
  </si>
  <si>
    <t>PZ</t>
  </si>
  <si>
    <t>QA</t>
  </si>
  <si>
    <t>QB</t>
  </si>
  <si>
    <t>QC</t>
  </si>
  <si>
    <t>QD</t>
  </si>
  <si>
    <t>QE</t>
  </si>
  <si>
    <t>QF</t>
  </si>
  <si>
    <t>QG</t>
  </si>
  <si>
    <t>QH</t>
  </si>
  <si>
    <t>QI</t>
  </si>
  <si>
    <t>QJ</t>
  </si>
  <si>
    <t>QK</t>
  </si>
  <si>
    <t>QL</t>
  </si>
  <si>
    <t>QM</t>
  </si>
  <si>
    <t>QO</t>
  </si>
  <si>
    <t>QP</t>
  </si>
  <si>
    <t>QQ</t>
  </si>
  <si>
    <t>QR</t>
  </si>
  <si>
    <t>QS</t>
  </si>
  <si>
    <t>QT</t>
  </si>
  <si>
    <t>QU</t>
  </si>
  <si>
    <t>QV</t>
  </si>
  <si>
    <t>QW</t>
  </si>
  <si>
    <t>QX</t>
  </si>
  <si>
    <t>QY</t>
  </si>
  <si>
    <t>QZ</t>
  </si>
  <si>
    <t>RA</t>
  </si>
  <si>
    <t>RB</t>
  </si>
  <si>
    <t>RC</t>
  </si>
  <si>
    <t>RD</t>
  </si>
  <si>
    <t>RE</t>
  </si>
  <si>
    <t>RF</t>
  </si>
  <si>
    <t>RG</t>
  </si>
  <si>
    <t>RH</t>
  </si>
  <si>
    <t>RI</t>
  </si>
  <si>
    <t>RJ</t>
  </si>
  <si>
    <t>RK</t>
  </si>
  <si>
    <t>RL</t>
  </si>
  <si>
    <t>RM</t>
  </si>
  <si>
    <t>RO</t>
  </si>
  <si>
    <t>RP</t>
  </si>
  <si>
    <t>RQ</t>
  </si>
  <si>
    <t>RR</t>
  </si>
  <si>
    <t>RS</t>
  </si>
  <si>
    <t>RT</t>
  </si>
  <si>
    <t>RU</t>
  </si>
  <si>
    <t>RV</t>
  </si>
  <si>
    <t>RW</t>
  </si>
  <si>
    <t>RX</t>
  </si>
  <si>
    <t>RY</t>
  </si>
  <si>
    <t>RZ</t>
  </si>
  <si>
    <t>SA</t>
  </si>
  <si>
    <t>SB</t>
  </si>
  <si>
    <t>SC</t>
  </si>
  <si>
    <t>SD</t>
  </si>
  <si>
    <t>SE</t>
  </si>
  <si>
    <t>SF</t>
  </si>
  <si>
    <t>SG</t>
  </si>
  <si>
    <t>SH</t>
  </si>
  <si>
    <t>SI</t>
  </si>
  <si>
    <t>SJ</t>
  </si>
  <si>
    <t>SK</t>
  </si>
  <si>
    <t>SL</t>
  </si>
  <si>
    <t>SM</t>
  </si>
  <si>
    <t>SO</t>
  </si>
  <si>
    <t>SP</t>
  </si>
  <si>
    <t>SQ</t>
  </si>
  <si>
    <t>SR</t>
  </si>
  <si>
    <t>SS</t>
  </si>
  <si>
    <t>ST</t>
  </si>
  <si>
    <t>SU</t>
  </si>
  <si>
    <t>SV</t>
  </si>
  <si>
    <t>SW</t>
  </si>
  <si>
    <t>SX</t>
  </si>
  <si>
    <t>SY</t>
  </si>
  <si>
    <t>SZ</t>
  </si>
  <si>
    <t>TA</t>
  </si>
  <si>
    <t>TB</t>
  </si>
  <si>
    <t>TC</t>
  </si>
  <si>
    <t>TD</t>
  </si>
  <si>
    <t>TE</t>
  </si>
  <si>
    <t>TF</t>
  </si>
  <si>
    <t>TG</t>
  </si>
  <si>
    <t>TH</t>
  </si>
  <si>
    <t>TI</t>
  </si>
  <si>
    <t>TJ</t>
  </si>
  <si>
    <t>TK</t>
  </si>
  <si>
    <t>TL</t>
  </si>
  <si>
    <t>TM</t>
  </si>
  <si>
    <t>TO</t>
  </si>
  <si>
    <t>TP</t>
  </si>
  <si>
    <t>TQ</t>
  </si>
  <si>
    <t>TR</t>
  </si>
  <si>
    <t>TS</t>
  </si>
  <si>
    <t>TT</t>
  </si>
  <si>
    <t>TU</t>
  </si>
  <si>
    <t>TV</t>
  </si>
  <si>
    <t>TW</t>
  </si>
  <si>
    <t>TX</t>
  </si>
  <si>
    <t>TY</t>
  </si>
  <si>
    <t>TZ</t>
  </si>
  <si>
    <t>UA</t>
  </si>
  <si>
    <t>UB</t>
  </si>
  <si>
    <t>UC</t>
  </si>
  <si>
    <t>UD</t>
  </si>
  <si>
    <t>UE</t>
  </si>
  <si>
    <t>UF</t>
  </si>
  <si>
    <t>UG</t>
  </si>
  <si>
    <t>UH</t>
  </si>
  <si>
    <t>UI</t>
  </si>
  <si>
    <t>UJ</t>
  </si>
  <si>
    <t>UK</t>
  </si>
  <si>
    <t>UL</t>
  </si>
  <si>
    <t>UM</t>
  </si>
  <si>
    <t>UO</t>
  </si>
  <si>
    <t>UP</t>
  </si>
  <si>
    <t>UQ</t>
  </si>
  <si>
    <t>UR</t>
  </si>
  <si>
    <t>US</t>
  </si>
  <si>
    <t>UT</t>
  </si>
  <si>
    <t>UU</t>
  </si>
  <si>
    <t>UV</t>
  </si>
  <si>
    <t>UW</t>
  </si>
  <si>
    <t>UX</t>
  </si>
  <si>
    <t>UY</t>
  </si>
  <si>
    <t>UZ</t>
  </si>
  <si>
    <t>VA</t>
  </si>
  <si>
    <t>VB</t>
  </si>
  <si>
    <t>VC</t>
  </si>
  <si>
    <t>VD</t>
  </si>
  <si>
    <t>VE</t>
  </si>
  <si>
    <t>VF</t>
  </si>
  <si>
    <t>VG</t>
  </si>
  <si>
    <t>VH</t>
  </si>
  <si>
    <t>VI</t>
  </si>
  <si>
    <t>VJ</t>
  </si>
  <si>
    <t>VK</t>
  </si>
  <si>
    <t>VL</t>
  </si>
  <si>
    <t>VM</t>
  </si>
  <si>
    <t>VO</t>
  </si>
  <si>
    <t>VP</t>
  </si>
  <si>
    <t>VQ</t>
  </si>
  <si>
    <t>VR</t>
  </si>
  <si>
    <t>VS</t>
  </si>
  <si>
    <t>VT</t>
  </si>
  <si>
    <t>VU</t>
  </si>
  <si>
    <t>VV</t>
  </si>
  <si>
    <t>VW</t>
  </si>
  <si>
    <t>VX</t>
  </si>
  <si>
    <t>VY</t>
  </si>
  <si>
    <t>VZ</t>
  </si>
  <si>
    <t>WA</t>
  </si>
  <si>
    <t>WB</t>
  </si>
  <si>
    <t>WC</t>
  </si>
  <si>
    <t>WD</t>
  </si>
  <si>
    <t>WE</t>
  </si>
  <si>
    <t>WF</t>
  </si>
  <si>
    <t>WG</t>
  </si>
  <si>
    <t>WH</t>
  </si>
  <si>
    <t>WI</t>
  </si>
  <si>
    <t>WJ</t>
  </si>
  <si>
    <t>WK</t>
  </si>
  <si>
    <t>WL</t>
  </si>
  <si>
    <t>WM</t>
  </si>
  <si>
    <t>WO</t>
  </si>
  <si>
    <t>WP</t>
  </si>
  <si>
    <t>WQ</t>
  </si>
  <si>
    <t>WR</t>
  </si>
  <si>
    <t>WS</t>
  </si>
  <si>
    <t>WT</t>
  </si>
  <si>
    <t>WU</t>
  </si>
  <si>
    <t>WV</t>
  </si>
  <si>
    <t>WW</t>
  </si>
  <si>
    <t>WX</t>
  </si>
  <si>
    <t>WY</t>
  </si>
  <si>
    <t>WZ</t>
  </si>
  <si>
    <t>XA</t>
  </si>
  <si>
    <t>XB</t>
  </si>
  <si>
    <t>XC</t>
  </si>
  <si>
    <t>XD</t>
  </si>
  <si>
    <t>XE</t>
  </si>
  <si>
    <t>XF</t>
  </si>
  <si>
    <t>XG</t>
  </si>
  <si>
    <t>XH</t>
  </si>
  <si>
    <t>XI</t>
  </si>
  <si>
    <t>XJ</t>
  </si>
  <si>
    <t>XK</t>
  </si>
  <si>
    <t>XL</t>
  </si>
  <si>
    <t>XM</t>
  </si>
  <si>
    <t>XO</t>
  </si>
  <si>
    <t>XP</t>
  </si>
  <si>
    <t>XQ</t>
  </si>
  <si>
    <t>XR</t>
  </si>
  <si>
    <t>XS</t>
  </si>
  <si>
    <t>XT</t>
  </si>
  <si>
    <t>XU</t>
  </si>
  <si>
    <t>XV</t>
  </si>
  <si>
    <t>XW</t>
  </si>
  <si>
    <t>XX</t>
  </si>
  <si>
    <t>XY</t>
  </si>
  <si>
    <t>XZ</t>
  </si>
  <si>
    <t>YA</t>
  </si>
  <si>
    <t>YB</t>
  </si>
  <si>
    <t>YC</t>
  </si>
  <si>
    <t>YD</t>
  </si>
  <si>
    <t>YE</t>
  </si>
  <si>
    <t>YF</t>
  </si>
  <si>
    <t>YG</t>
  </si>
  <si>
    <t>YH</t>
  </si>
  <si>
    <t>YI</t>
  </si>
  <si>
    <t>YJ</t>
  </si>
  <si>
    <t>YK</t>
  </si>
  <si>
    <t>YL</t>
  </si>
  <si>
    <t>YM</t>
  </si>
  <si>
    <t>YO</t>
  </si>
  <si>
    <t>YP</t>
  </si>
  <si>
    <t>YQ</t>
  </si>
  <si>
    <t>YR</t>
  </si>
  <si>
    <t>YS</t>
  </si>
  <si>
    <t>YT</t>
  </si>
  <si>
    <t>YU</t>
  </si>
  <si>
    <t>YV</t>
  </si>
  <si>
    <t>YW</t>
  </si>
  <si>
    <t>YX</t>
  </si>
  <si>
    <t>YY</t>
  </si>
  <si>
    <t>YZ</t>
  </si>
  <si>
    <t>ZA</t>
  </si>
  <si>
    <t>ZB</t>
  </si>
  <si>
    <t>ZC</t>
  </si>
  <si>
    <t>ZD</t>
  </si>
  <si>
    <t>ZE</t>
  </si>
  <si>
    <t>ZF</t>
  </si>
  <si>
    <t>ZG</t>
  </si>
  <si>
    <t>ZH</t>
  </si>
  <si>
    <t>ZI</t>
  </si>
  <si>
    <t>ZJ</t>
  </si>
  <si>
    <t>ZK</t>
  </si>
  <si>
    <t>ZL</t>
  </si>
  <si>
    <t>ZM</t>
  </si>
  <si>
    <t>ZO</t>
  </si>
  <si>
    <t>ZP</t>
  </si>
  <si>
    <t>ZQ</t>
  </si>
  <si>
    <t>ZR</t>
  </si>
  <si>
    <t>ZS</t>
  </si>
  <si>
    <t>ZT</t>
  </si>
  <si>
    <t>ZU</t>
  </si>
  <si>
    <t>ZV</t>
  </si>
  <si>
    <t>ZW</t>
  </si>
  <si>
    <t>ZX</t>
  </si>
  <si>
    <t>ZY</t>
  </si>
  <si>
    <t>ZZ</t>
  </si>
  <si>
    <t>AAAA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</si>
</sst>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1E1E3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0" fillId="33" borderId="10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A18295"/>
  <sheetViews>
    <sheetView tabSelected="1" workbookViewId="0">
      <selection activeCell="G12" sqref="G12"/>
    </sheetView>
  </sheetViews>
  <sheetFormatPr baseColWidth="10" defaultRowHeight="15" x14ac:dyDescent="0.25"/>
  <cols>
    <col min="1" max="5" width="11.42578125" style="1"/>
    <col min="6" max="7" width="18.85546875" style="1" customWidth="1"/>
    <col min="8" max="16384" width="11.42578125" style="1"/>
  </cols>
  <sheetData>
    <row r="1" spans="1:9" ht="45" x14ac:dyDescent="0.25">
      <c r="A1" s="1" t="s">
        <v>0</v>
      </c>
      <c r="C1" s="2" t="s">
        <v>30</v>
      </c>
      <c r="D1" s="3" t="s">
        <v>31</v>
      </c>
      <c r="F1" s="3" t="s">
        <v>275</v>
      </c>
      <c r="G1" s="3" t="s">
        <v>32</v>
      </c>
    </row>
    <row r="2" spans="1:9" x14ac:dyDescent="0.25">
      <c r="A2" s="1" t="s">
        <v>1</v>
      </c>
      <c r="C2" s="2">
        <v>7</v>
      </c>
      <c r="D2" s="5">
        <v>30</v>
      </c>
      <c r="F2" s="4"/>
      <c r="G2" s="6"/>
    </row>
    <row r="3" spans="1:9" x14ac:dyDescent="0.25">
      <c r="A3" s="1" t="s">
        <v>2</v>
      </c>
      <c r="F3" s="4"/>
      <c r="G3" s="6"/>
    </row>
    <row r="4" spans="1:9" x14ac:dyDescent="0.25">
      <c r="A4" s="1" t="s">
        <v>3</v>
      </c>
      <c r="F4" s="4"/>
      <c r="G4" s="6"/>
    </row>
    <row r="5" spans="1:9" x14ac:dyDescent="0.25">
      <c r="A5" s="1" t="s">
        <v>4</v>
      </c>
      <c r="F5" s="4"/>
      <c r="G5" s="6"/>
    </row>
    <row r="6" spans="1:9" x14ac:dyDescent="0.25">
      <c r="A6" s="1" t="s">
        <v>5</v>
      </c>
      <c r="F6" s="4"/>
      <c r="G6" s="4"/>
    </row>
    <row r="7" spans="1:9" x14ac:dyDescent="0.25">
      <c r="A7" s="1" t="s">
        <v>6</v>
      </c>
      <c r="F7" s="4"/>
      <c r="G7" s="4"/>
    </row>
    <row r="8" spans="1:9" x14ac:dyDescent="0.25">
      <c r="A8" s="1" t="s">
        <v>7</v>
      </c>
      <c r="F8" s="4"/>
      <c r="G8" s="4"/>
    </row>
    <row r="9" spans="1:9" x14ac:dyDescent="0.25">
      <c r="A9" s="1" t="s">
        <v>8</v>
      </c>
      <c r="F9" s="1">
        <f>SUM(F2:F8)</f>
        <v>0</v>
      </c>
    </row>
    <row r="10" spans="1:9" x14ac:dyDescent="0.25">
      <c r="A10" s="1" t="s">
        <v>9</v>
      </c>
    </row>
    <row r="11" spans="1:9" x14ac:dyDescent="0.25">
      <c r="A11" s="1" t="s">
        <v>10</v>
      </c>
    </row>
    <row r="12" spans="1:9" x14ac:dyDescent="0.25">
      <c r="A12" s="1" t="s">
        <v>11</v>
      </c>
    </row>
    <row r="13" spans="1:9" x14ac:dyDescent="0.25">
      <c r="A13" s="1" t="s">
        <v>12</v>
      </c>
    </row>
    <row r="14" spans="1:9" x14ac:dyDescent="0.25">
      <c r="A14" s="1" t="s">
        <v>13</v>
      </c>
    </row>
    <row r="15" spans="1:9" ht="30" x14ac:dyDescent="0.25">
      <c r="A15" s="1" t="s">
        <v>14</v>
      </c>
      <c r="F15" s="3" t="s">
        <v>33</v>
      </c>
      <c r="G15" s="4" t="s">
        <v>34</v>
      </c>
    </row>
    <row r="16" spans="1:9" x14ac:dyDescent="0.25">
      <c r="A16" s="1" t="s">
        <v>15</v>
      </c>
      <c r="F16" s="1" t="s">
        <v>35</v>
      </c>
      <c r="G16" s="1">
        <f>COUNTIF(A1:A210,"A*")</f>
        <v>7</v>
      </c>
      <c r="H16" s="1" t="s">
        <v>61</v>
      </c>
      <c r="I16" s="1">
        <f>COUNTIF(A1:A210,"AA*")</f>
        <v>0</v>
      </c>
    </row>
    <row r="17" spans="1:9" x14ac:dyDescent="0.25">
      <c r="A17" s="1" t="s">
        <v>16</v>
      </c>
      <c r="F17" s="1" t="s">
        <v>36</v>
      </c>
      <c r="G17" s="1">
        <f>COUNTIF(A1:A210,"B*")</f>
        <v>21</v>
      </c>
      <c r="H17" s="1" t="s">
        <v>70</v>
      </c>
      <c r="I17" s="1">
        <f>COUNTIF(A1:A210,"AB*")</f>
        <v>0</v>
      </c>
    </row>
    <row r="18" spans="1:9" x14ac:dyDescent="0.25">
      <c r="A18" s="1" t="s">
        <v>17</v>
      </c>
      <c r="F18" s="1" t="s">
        <v>37</v>
      </c>
      <c r="G18" s="1">
        <f>COUNTIF(A1:A210,"C*")</f>
        <v>7</v>
      </c>
      <c r="H18" s="1" t="s">
        <v>71</v>
      </c>
      <c r="I18" s="1">
        <f>COUNTIF(A1:A210,"AC*")</f>
        <v>0</v>
      </c>
    </row>
    <row r="19" spans="1:9" x14ac:dyDescent="0.25">
      <c r="A19" s="1" t="s">
        <v>18</v>
      </c>
      <c r="F19" s="1" t="s">
        <v>38</v>
      </c>
      <c r="G19" s="1">
        <f>COUNTIF(A1:A210,"D*")</f>
        <v>28</v>
      </c>
      <c r="H19" s="1" t="s">
        <v>72</v>
      </c>
      <c r="I19" s="1">
        <f>COUNTIF(A1:A210,"AD*")</f>
        <v>0</v>
      </c>
    </row>
    <row r="20" spans="1:9" x14ac:dyDescent="0.25">
      <c r="A20" s="1" t="s">
        <v>19</v>
      </c>
      <c r="F20" s="1" t="s">
        <v>39</v>
      </c>
      <c r="G20" s="1">
        <f>COUNTIF(A1:A210,"E*")</f>
        <v>0</v>
      </c>
      <c r="H20" s="1" t="s">
        <v>73</v>
      </c>
      <c r="I20" s="1">
        <f>COUNTIF(A1:A210,"AE*")</f>
        <v>0</v>
      </c>
    </row>
    <row r="21" spans="1:9" x14ac:dyDescent="0.25">
      <c r="A21" s="1" t="s">
        <v>20</v>
      </c>
      <c r="F21" s="1" t="s">
        <v>40</v>
      </c>
      <c r="G21" s="1">
        <f>COUNTIF(A1:A210,"F*")</f>
        <v>0</v>
      </c>
      <c r="H21" s="1" t="s">
        <v>74</v>
      </c>
      <c r="I21" s="1">
        <f>COUNTIF(A1:A210,"AF*")</f>
        <v>0</v>
      </c>
    </row>
    <row r="22" spans="1:9" x14ac:dyDescent="0.25">
      <c r="A22" s="1" t="s">
        <v>21</v>
      </c>
      <c r="F22" s="1" t="s">
        <v>41</v>
      </c>
      <c r="G22" s="1">
        <f>COUNTIF(A1:A210,"G*")</f>
        <v>14</v>
      </c>
      <c r="H22" s="1" t="s">
        <v>75</v>
      </c>
      <c r="I22" s="1">
        <f>COUNTIF(A1:A210,"AG*")</f>
        <v>0</v>
      </c>
    </row>
    <row r="23" spans="1:9" x14ac:dyDescent="0.25">
      <c r="A23" s="1" t="s">
        <v>22</v>
      </c>
      <c r="F23" s="1" t="s">
        <v>42</v>
      </c>
      <c r="G23" s="1">
        <f>COUNTIF(A1:A210,"H*")</f>
        <v>42</v>
      </c>
      <c r="H23" s="1" t="s">
        <v>76</v>
      </c>
      <c r="I23" s="1">
        <f>COUNTIF(A1:A210,"AH*")</f>
        <v>0</v>
      </c>
    </row>
    <row r="24" spans="1:9" x14ac:dyDescent="0.25">
      <c r="A24" s="1" t="s">
        <v>23</v>
      </c>
      <c r="F24" s="1" t="s">
        <v>43</v>
      </c>
      <c r="G24" s="1">
        <f>COUNTIF(A1:A210,"I*")</f>
        <v>0</v>
      </c>
      <c r="H24" s="1" t="s">
        <v>77</v>
      </c>
      <c r="I24" s="1">
        <f>COUNTIF(A1:A210,"AI*")</f>
        <v>0</v>
      </c>
    </row>
    <row r="25" spans="1:9" x14ac:dyDescent="0.25">
      <c r="A25" s="1" t="s">
        <v>24</v>
      </c>
      <c r="F25" s="1" t="s">
        <v>44</v>
      </c>
      <c r="G25" s="1">
        <f>COUNTIF(A1:A210,"J*")</f>
        <v>7</v>
      </c>
      <c r="H25" s="1" t="s">
        <v>78</v>
      </c>
      <c r="I25" s="1">
        <f>COUNTIF(A1:A210,"AJ*")</f>
        <v>0</v>
      </c>
    </row>
    <row r="26" spans="1:9" x14ac:dyDescent="0.25">
      <c r="A26" s="1" t="s">
        <v>25</v>
      </c>
      <c r="F26" s="1" t="s">
        <v>45</v>
      </c>
      <c r="G26" s="1">
        <f>COUNTIF(A1:A210,"K*")</f>
        <v>0</v>
      </c>
      <c r="H26" s="1" t="s">
        <v>79</v>
      </c>
      <c r="I26" s="1">
        <f>COUNTIF(A1:A210,"AK*")</f>
        <v>0</v>
      </c>
    </row>
    <row r="27" spans="1:9" x14ac:dyDescent="0.25">
      <c r="A27" s="1" t="s">
        <v>26</v>
      </c>
      <c r="F27" s="1" t="s">
        <v>46</v>
      </c>
      <c r="G27" s="1">
        <f>COUNTIF(A1:A210,"L*")</f>
        <v>7</v>
      </c>
      <c r="H27" s="1" t="s">
        <v>80</v>
      </c>
      <c r="I27" s="1">
        <f>COUNTIF(A1:A210,"AL*")</f>
        <v>0</v>
      </c>
    </row>
    <row r="28" spans="1:9" x14ac:dyDescent="0.25">
      <c r="A28" s="1" t="s">
        <v>27</v>
      </c>
      <c r="F28" s="1" t="s">
        <v>47</v>
      </c>
      <c r="G28" s="1">
        <f>COUNTIF(A1:A210,"M*")</f>
        <v>7</v>
      </c>
      <c r="H28" s="1" t="s">
        <v>81</v>
      </c>
      <c r="I28" s="1">
        <f>COUNTIF(A1:A210,"AM*")</f>
        <v>0</v>
      </c>
    </row>
    <row r="29" spans="1:9" x14ac:dyDescent="0.25">
      <c r="A29" s="1" t="s">
        <v>28</v>
      </c>
      <c r="F29" s="1" t="s">
        <v>48</v>
      </c>
      <c r="G29" s="1">
        <f>COUNTIF(A1:A210,"N*")</f>
        <v>14</v>
      </c>
      <c r="H29" s="1" t="s">
        <v>82</v>
      </c>
      <c r="I29" s="1">
        <f>COUNTIF(A1:A210,"AN*")</f>
        <v>0</v>
      </c>
    </row>
    <row r="30" spans="1:9" x14ac:dyDescent="0.25">
      <c r="A30" s="1" t="s">
        <v>29</v>
      </c>
      <c r="F30" s="1" t="s">
        <v>49</v>
      </c>
      <c r="G30" s="1">
        <f>COUNTIF(A1:A210,"O*")</f>
        <v>0</v>
      </c>
      <c r="H30" s="1" t="s">
        <v>83</v>
      </c>
      <c r="I30" s="1">
        <f>COUNTIF(A1:A210,"AO*")</f>
        <v>0</v>
      </c>
    </row>
    <row r="31" spans="1:9" x14ac:dyDescent="0.25">
      <c r="A31" s="1" t="s">
        <v>0</v>
      </c>
      <c r="F31" s="1" t="s">
        <v>50</v>
      </c>
      <c r="G31" s="1">
        <f>COUNTIF(A1:A210,"P*")</f>
        <v>0</v>
      </c>
      <c r="H31" s="1" t="s">
        <v>84</v>
      </c>
      <c r="I31" s="1">
        <f>COUNTIF(A1:A210,"AP*")</f>
        <v>0</v>
      </c>
    </row>
    <row r="32" spans="1:9" x14ac:dyDescent="0.25">
      <c r="A32" s="1" t="s">
        <v>1</v>
      </c>
      <c r="F32" s="1" t="s">
        <v>51</v>
      </c>
      <c r="G32" s="1">
        <f>COUNTIF(A1:A210,"Q*")</f>
        <v>0</v>
      </c>
      <c r="H32" s="1" t="s">
        <v>85</v>
      </c>
      <c r="I32" s="1">
        <f>COUNTIF(A1:A210,"AQ*")</f>
        <v>0</v>
      </c>
    </row>
    <row r="33" spans="1:9" x14ac:dyDescent="0.25">
      <c r="A33" s="1" t="s">
        <v>2</v>
      </c>
      <c r="F33" s="1" t="s">
        <v>52</v>
      </c>
      <c r="G33" s="1">
        <f>COUNTIF(A1:A210,"R*")</f>
        <v>7</v>
      </c>
      <c r="H33" s="1" t="s">
        <v>86</v>
      </c>
      <c r="I33" s="1">
        <f>COUNTIF(A1:A210,"AR*")</f>
        <v>0</v>
      </c>
    </row>
    <row r="34" spans="1:9" x14ac:dyDescent="0.25">
      <c r="A34" s="1" t="s">
        <v>3</v>
      </c>
      <c r="F34" s="1" t="s">
        <v>53</v>
      </c>
      <c r="G34" s="1">
        <f>COUNTIF(A1:A210,"S*")</f>
        <v>28</v>
      </c>
      <c r="H34" s="1" t="s">
        <v>87</v>
      </c>
      <c r="I34" s="1">
        <f>COUNTIF(A1:A210,"AS*")</f>
        <v>0</v>
      </c>
    </row>
    <row r="35" spans="1:9" x14ac:dyDescent="0.25">
      <c r="A35" s="1" t="s">
        <v>4</v>
      </c>
      <c r="F35" s="1" t="s">
        <v>54</v>
      </c>
      <c r="G35" s="1">
        <f>COUNTIF(A1:A210,"T*")</f>
        <v>21</v>
      </c>
      <c r="H35" s="1" t="s">
        <v>88</v>
      </c>
      <c r="I35" s="1">
        <f>COUNTIF(A1:A210,"AT*")</f>
        <v>0</v>
      </c>
    </row>
    <row r="36" spans="1:9" x14ac:dyDescent="0.25">
      <c r="A36" s="1" t="s">
        <v>5</v>
      </c>
      <c r="F36" s="1" t="s">
        <v>55</v>
      </c>
      <c r="G36" s="1">
        <f>COUNTIF(A1:A210,"U*")</f>
        <v>0</v>
      </c>
      <c r="H36" s="1" t="s">
        <v>89</v>
      </c>
      <c r="I36" s="1">
        <f>COUNTIF(A1:A210,"AU*")</f>
        <v>7</v>
      </c>
    </row>
    <row r="37" spans="1:9" x14ac:dyDescent="0.25">
      <c r="A37" s="1" t="s">
        <v>6</v>
      </c>
      <c r="F37" s="1" t="s">
        <v>56</v>
      </c>
      <c r="G37" s="1">
        <f>COUNTIF(A1:A210,"V*")</f>
        <v>0</v>
      </c>
      <c r="H37" s="1" t="s">
        <v>90</v>
      </c>
      <c r="I37" s="1">
        <f>COUNTIF(A1:A210,"AV*")</f>
        <v>0</v>
      </c>
    </row>
    <row r="38" spans="1:9" x14ac:dyDescent="0.25">
      <c r="A38" s="1" t="s">
        <v>7</v>
      </c>
      <c r="F38" s="1" t="s">
        <v>57</v>
      </c>
      <c r="G38" s="1">
        <f>COUNTIF(A1:A210,"W*")</f>
        <v>0</v>
      </c>
      <c r="H38" s="1" t="s">
        <v>91</v>
      </c>
      <c r="I38" s="1">
        <f>COUNTIF(A1:A210,"AW*")</f>
        <v>0</v>
      </c>
    </row>
    <row r="39" spans="1:9" x14ac:dyDescent="0.25">
      <c r="A39" s="1" t="s">
        <v>8</v>
      </c>
      <c r="F39" s="1" t="s">
        <v>58</v>
      </c>
      <c r="G39" s="1">
        <f>COUNTIF(A1:A210,"X*")</f>
        <v>0</v>
      </c>
      <c r="H39" s="1" t="s">
        <v>92</v>
      </c>
      <c r="I39" s="1">
        <f>COUNTIF(A1:A210,"AX*")</f>
        <v>0</v>
      </c>
    </row>
    <row r="40" spans="1:9" x14ac:dyDescent="0.25">
      <c r="A40" s="1" t="s">
        <v>9</v>
      </c>
      <c r="F40" s="1" t="s">
        <v>59</v>
      </c>
      <c r="G40" s="1">
        <f>COUNTIF(A1:A210,"Y*")</f>
        <v>0</v>
      </c>
      <c r="H40" s="1" t="s">
        <v>93</v>
      </c>
      <c r="I40" s="1">
        <f>COUNTIF(A1:A210,"AY*")</f>
        <v>0</v>
      </c>
    </row>
    <row r="41" spans="1:9" x14ac:dyDescent="0.25">
      <c r="A41" s="1" t="s">
        <v>10</v>
      </c>
      <c r="F41" s="1" t="s">
        <v>60</v>
      </c>
      <c r="G41" s="1">
        <f>COUNTIF(A1:A210,"Z*")</f>
        <v>0</v>
      </c>
      <c r="H41" s="1" t="s">
        <v>94</v>
      </c>
      <c r="I41" s="1">
        <f>COUNTIF(A1:A210,"AZ*")</f>
        <v>0</v>
      </c>
    </row>
    <row r="42" spans="1:9" x14ac:dyDescent="0.25">
      <c r="A42" s="1" t="s">
        <v>11</v>
      </c>
      <c r="G42" s="1">
        <f>SUM(G16:G41)</f>
        <v>210</v>
      </c>
    </row>
    <row r="43" spans="1:9" x14ac:dyDescent="0.25">
      <c r="A43" s="1" t="s">
        <v>12</v>
      </c>
      <c r="H43" s="1" t="s">
        <v>95</v>
      </c>
      <c r="I43" s="1">
        <f>COUNTIF(A1:A210,"BA*")</f>
        <v>0</v>
      </c>
    </row>
    <row r="44" spans="1:9" x14ac:dyDescent="0.25">
      <c r="A44" s="1" t="s">
        <v>13</v>
      </c>
      <c r="H44" s="1" t="s">
        <v>62</v>
      </c>
      <c r="I44" s="1">
        <f>COUNTIF(A1:A210,"BB*")</f>
        <v>0</v>
      </c>
    </row>
    <row r="45" spans="1:9" x14ac:dyDescent="0.25">
      <c r="A45" s="1" t="s">
        <v>14</v>
      </c>
      <c r="H45" s="1" t="s">
        <v>96</v>
      </c>
      <c r="I45" s="1">
        <f>COUNTIF(A1:A210,"BC*")</f>
        <v>0</v>
      </c>
    </row>
    <row r="46" spans="1:9" x14ac:dyDescent="0.25">
      <c r="A46" s="1" t="s">
        <v>15</v>
      </c>
      <c r="H46" s="1" t="s">
        <v>97</v>
      </c>
      <c r="I46" s="1">
        <f>COUNTIF(A1:A210,"BD*")</f>
        <v>0</v>
      </c>
    </row>
    <row r="47" spans="1:9" x14ac:dyDescent="0.25">
      <c r="A47" s="1" t="s">
        <v>16</v>
      </c>
      <c r="H47" s="1" t="s">
        <v>98</v>
      </c>
      <c r="I47" s="1">
        <f>COUNTIF(A1:A210,"BE*")</f>
        <v>7</v>
      </c>
    </row>
    <row r="48" spans="1:9" x14ac:dyDescent="0.25">
      <c r="A48" s="1" t="s">
        <v>17</v>
      </c>
      <c r="H48" s="1" t="s">
        <v>99</v>
      </c>
      <c r="I48" s="1">
        <f>COUNTIF(A1:A210,"BF*")</f>
        <v>0</v>
      </c>
    </row>
    <row r="49" spans="1:9" x14ac:dyDescent="0.25">
      <c r="A49" s="1" t="s">
        <v>18</v>
      </c>
      <c r="H49" s="1" t="s">
        <v>100</v>
      </c>
      <c r="I49" s="1">
        <f>COUNTIF(A1:A210,"BG*")</f>
        <v>0</v>
      </c>
    </row>
    <row r="50" spans="1:9" x14ac:dyDescent="0.25">
      <c r="A50" s="1" t="s">
        <v>19</v>
      </c>
      <c r="H50" s="1" t="s">
        <v>101</v>
      </c>
      <c r="I50" s="1">
        <f>COUNTIF(A1:A210,"BH*")</f>
        <v>0</v>
      </c>
    </row>
    <row r="51" spans="1:9" x14ac:dyDescent="0.25">
      <c r="A51" s="1" t="s">
        <v>20</v>
      </c>
      <c r="H51" s="1" t="s">
        <v>102</v>
      </c>
      <c r="I51" s="1">
        <f>COUNTIF(A1:A210,"BI*")</f>
        <v>0</v>
      </c>
    </row>
    <row r="52" spans="1:9" x14ac:dyDescent="0.25">
      <c r="A52" s="1" t="s">
        <v>21</v>
      </c>
      <c r="H52" s="1" t="s">
        <v>103</v>
      </c>
      <c r="I52" s="1">
        <f>COUNTIF(A1:A210,"BJ*")</f>
        <v>0</v>
      </c>
    </row>
    <row r="53" spans="1:9" x14ac:dyDescent="0.25">
      <c r="A53" s="1" t="s">
        <v>22</v>
      </c>
      <c r="H53" s="1" t="s">
        <v>104</v>
      </c>
      <c r="I53" s="1">
        <f>COUNTIF(A1:A210,"BK*")</f>
        <v>0</v>
      </c>
    </row>
    <row r="54" spans="1:9" x14ac:dyDescent="0.25">
      <c r="A54" s="1" t="s">
        <v>23</v>
      </c>
      <c r="H54" s="1" t="s">
        <v>105</v>
      </c>
      <c r="I54" s="1">
        <f>COUNTIF(A1:A210,"BL*")</f>
        <v>0</v>
      </c>
    </row>
    <row r="55" spans="1:9" x14ac:dyDescent="0.25">
      <c r="A55" s="1" t="s">
        <v>24</v>
      </c>
      <c r="H55" s="1" t="s">
        <v>106</v>
      </c>
      <c r="I55" s="1">
        <f>COUNTIF(A1:A210,"BM*")</f>
        <v>0</v>
      </c>
    </row>
    <row r="56" spans="1:9" x14ac:dyDescent="0.25">
      <c r="A56" s="1" t="s">
        <v>25</v>
      </c>
      <c r="H56" s="1" t="s">
        <v>107</v>
      </c>
      <c r="I56" s="1">
        <f>COUNTIF(A1:A210,"BN*")</f>
        <v>0</v>
      </c>
    </row>
    <row r="57" spans="1:9" x14ac:dyDescent="0.25">
      <c r="A57" s="1" t="s">
        <v>26</v>
      </c>
      <c r="H57" s="1" t="s">
        <v>108</v>
      </c>
      <c r="I57" s="1">
        <f>COUNTIF(A1:A210,"BO*")</f>
        <v>7</v>
      </c>
    </row>
    <row r="58" spans="1:9" x14ac:dyDescent="0.25">
      <c r="A58" s="1" t="s">
        <v>27</v>
      </c>
      <c r="H58" s="1" t="s">
        <v>109</v>
      </c>
      <c r="I58" s="1">
        <f>COUNTIF(A1:A210,"BP*")</f>
        <v>0</v>
      </c>
    </row>
    <row r="59" spans="1:9" x14ac:dyDescent="0.25">
      <c r="A59" s="1" t="s">
        <v>28</v>
      </c>
      <c r="H59" s="1" t="s">
        <v>110</v>
      </c>
      <c r="I59" s="1">
        <f>COUNTIF(A1:A210,"BQ*")</f>
        <v>0</v>
      </c>
    </row>
    <row r="60" spans="1:9" x14ac:dyDescent="0.25">
      <c r="A60" s="1" t="s">
        <v>29</v>
      </c>
      <c r="H60" s="1" t="s">
        <v>111</v>
      </c>
      <c r="I60" s="1">
        <f>COUNTIF(A1:A210,"BR*")</f>
        <v>7</v>
      </c>
    </row>
    <row r="61" spans="1:9" x14ac:dyDescent="0.25">
      <c r="A61" s="1" t="s">
        <v>0</v>
      </c>
      <c r="H61" s="1" t="s">
        <v>112</v>
      </c>
      <c r="I61" s="1">
        <f>COUNTIF(A1:A210,"BS*")</f>
        <v>0</v>
      </c>
    </row>
    <row r="62" spans="1:9" x14ac:dyDescent="0.25">
      <c r="A62" s="1" t="s">
        <v>1</v>
      </c>
      <c r="H62" s="1" t="s">
        <v>113</v>
      </c>
      <c r="I62" s="1">
        <f>COUNTIF(A1:A210,"BT*")</f>
        <v>0</v>
      </c>
    </row>
    <row r="63" spans="1:9" x14ac:dyDescent="0.25">
      <c r="A63" s="1" t="s">
        <v>2</v>
      </c>
      <c r="H63" s="1" t="s">
        <v>114</v>
      </c>
      <c r="I63" s="1">
        <f>COUNTIF(A1:A210,"BU*")</f>
        <v>0</v>
      </c>
    </row>
    <row r="64" spans="1:9" x14ac:dyDescent="0.25">
      <c r="A64" s="1" t="s">
        <v>3</v>
      </c>
      <c r="H64" s="1" t="s">
        <v>115</v>
      </c>
      <c r="I64" s="1">
        <f>COUNTIF(A1:A210,"BV*")</f>
        <v>0</v>
      </c>
    </row>
    <row r="65" spans="1:9" x14ac:dyDescent="0.25">
      <c r="A65" s="1" t="s">
        <v>4</v>
      </c>
      <c r="H65" s="1" t="s">
        <v>116</v>
      </c>
      <c r="I65" s="1">
        <f>COUNTIF(A1:A210,"BW*")</f>
        <v>0</v>
      </c>
    </row>
    <row r="66" spans="1:9" x14ac:dyDescent="0.25">
      <c r="A66" s="1" t="s">
        <v>5</v>
      </c>
      <c r="H66" s="1" t="s">
        <v>117</v>
      </c>
      <c r="I66" s="1">
        <f>COUNTIF(A1:A210,"BX*")</f>
        <v>0</v>
      </c>
    </row>
    <row r="67" spans="1:9" x14ac:dyDescent="0.25">
      <c r="A67" s="1" t="s">
        <v>6</v>
      </c>
      <c r="H67" s="1" t="s">
        <v>118</v>
      </c>
      <c r="I67" s="1">
        <f>COUNTIF(A1:A210,"BY*")</f>
        <v>0</v>
      </c>
    </row>
    <row r="68" spans="1:9" x14ac:dyDescent="0.25">
      <c r="A68" s="1" t="s">
        <v>7</v>
      </c>
      <c r="H68" s="1" t="s">
        <v>119</v>
      </c>
      <c r="I68" s="1">
        <f>COUNTIF(A1:A210,"BZ*")</f>
        <v>0</v>
      </c>
    </row>
    <row r="69" spans="1:9" x14ac:dyDescent="0.25">
      <c r="A69" s="1" t="s">
        <v>8</v>
      </c>
    </row>
    <row r="70" spans="1:9" x14ac:dyDescent="0.25">
      <c r="A70" s="1" t="s">
        <v>9</v>
      </c>
      <c r="H70" s="1" t="s">
        <v>120</v>
      </c>
      <c r="I70" s="1">
        <f>COUNTIF(A1:A210,"CA*")</f>
        <v>0</v>
      </c>
    </row>
    <row r="71" spans="1:9" x14ac:dyDescent="0.25">
      <c r="A71" s="1" t="s">
        <v>10</v>
      </c>
      <c r="H71" s="1" t="s">
        <v>121</v>
      </c>
      <c r="I71" s="1">
        <f>COUNTIF(A1:A210,"CB*")</f>
        <v>0</v>
      </c>
    </row>
    <row r="72" spans="1:9" x14ac:dyDescent="0.25">
      <c r="A72" s="1" t="s">
        <v>11</v>
      </c>
      <c r="H72" s="1" t="s">
        <v>63</v>
      </c>
      <c r="I72" s="1">
        <f>COUNTIF(A1:A210,"CC*")</f>
        <v>0</v>
      </c>
    </row>
    <row r="73" spans="1:9" x14ac:dyDescent="0.25">
      <c r="A73" s="1" t="s">
        <v>12</v>
      </c>
      <c r="H73" s="1" t="s">
        <v>122</v>
      </c>
      <c r="I73" s="1">
        <f>COUNTIF(A1:A210,"CD*")</f>
        <v>0</v>
      </c>
    </row>
    <row r="74" spans="1:9" x14ac:dyDescent="0.25">
      <c r="A74" s="1" t="s">
        <v>13</v>
      </c>
      <c r="H74" s="1" t="s">
        <v>123</v>
      </c>
      <c r="I74" s="1">
        <f>COUNTIF(A1:A210,"CE*")</f>
        <v>0</v>
      </c>
    </row>
    <row r="75" spans="1:9" x14ac:dyDescent="0.25">
      <c r="A75" s="1" t="s">
        <v>14</v>
      </c>
      <c r="H75" s="1" t="s">
        <v>124</v>
      </c>
      <c r="I75" s="1">
        <f>COUNTIF(A1:A210,"CF*")</f>
        <v>0</v>
      </c>
    </row>
    <row r="76" spans="1:9" x14ac:dyDescent="0.25">
      <c r="A76" s="1" t="s">
        <v>15</v>
      </c>
      <c r="H76" s="1" t="s">
        <v>125</v>
      </c>
      <c r="I76" s="1">
        <f>COUNTIF(A1:A210,"CG*")</f>
        <v>0</v>
      </c>
    </row>
    <row r="77" spans="1:9" x14ac:dyDescent="0.25">
      <c r="A77" s="1" t="s">
        <v>16</v>
      </c>
      <c r="H77" s="1" t="s">
        <v>126</v>
      </c>
      <c r="I77" s="1">
        <f>COUNTIF(A1:A210,"CH*")</f>
        <v>0</v>
      </c>
    </row>
    <row r="78" spans="1:9" x14ac:dyDescent="0.25">
      <c r="A78" s="1" t="s">
        <v>17</v>
      </c>
      <c r="H78" s="1" t="s">
        <v>127</v>
      </c>
      <c r="I78" s="1">
        <f>COUNTIF(A1:A210,"CI*")</f>
        <v>0</v>
      </c>
    </row>
    <row r="79" spans="1:9" x14ac:dyDescent="0.25">
      <c r="A79" s="1" t="s">
        <v>18</v>
      </c>
      <c r="H79" s="1" t="s">
        <v>128</v>
      </c>
      <c r="I79" s="1">
        <f>COUNTIF(A1:A210,"CJ*")</f>
        <v>0</v>
      </c>
    </row>
    <row r="80" spans="1:9" x14ac:dyDescent="0.25">
      <c r="A80" s="1" t="s">
        <v>19</v>
      </c>
      <c r="H80" s="1" t="s">
        <v>129</v>
      </c>
      <c r="I80" s="1">
        <f>COUNTIF(A1:A210,"CK*")</f>
        <v>0</v>
      </c>
    </row>
    <row r="81" spans="1:9" x14ac:dyDescent="0.25">
      <c r="A81" s="1" t="s">
        <v>20</v>
      </c>
      <c r="H81" s="1" t="s">
        <v>130</v>
      </c>
      <c r="I81" s="1">
        <f>COUNTIF(A1:A210,"CL*")</f>
        <v>0</v>
      </c>
    </row>
    <row r="82" spans="1:9" x14ac:dyDescent="0.25">
      <c r="A82" s="1" t="s">
        <v>21</v>
      </c>
      <c r="H82" s="1" t="s">
        <v>131</v>
      </c>
      <c r="I82" s="1">
        <f>COUNTIF(A1:A210,"CM*")</f>
        <v>0</v>
      </c>
    </row>
    <row r="83" spans="1:9" x14ac:dyDescent="0.25">
      <c r="A83" s="1" t="s">
        <v>22</v>
      </c>
      <c r="H83" s="1" t="s">
        <v>132</v>
      </c>
      <c r="I83" s="1">
        <f>COUNTIF(A1:A210,"CN*")</f>
        <v>0</v>
      </c>
    </row>
    <row r="84" spans="1:9" x14ac:dyDescent="0.25">
      <c r="A84" s="1" t="s">
        <v>23</v>
      </c>
      <c r="H84" s="1" t="s">
        <v>133</v>
      </c>
      <c r="I84" s="1">
        <f>COUNTIF(A1:A210,"CO*")</f>
        <v>0</v>
      </c>
    </row>
    <row r="85" spans="1:9" x14ac:dyDescent="0.25">
      <c r="A85" s="1" t="s">
        <v>24</v>
      </c>
      <c r="H85" s="1" t="s">
        <v>134</v>
      </c>
      <c r="I85" s="1">
        <f>COUNTIF(A1:A210,"CP*")</f>
        <v>0</v>
      </c>
    </row>
    <row r="86" spans="1:9" x14ac:dyDescent="0.25">
      <c r="A86" s="1" t="s">
        <v>25</v>
      </c>
      <c r="H86" s="1" t="s">
        <v>135</v>
      </c>
      <c r="I86" s="1">
        <f>COUNTIF(A1:A210,"CQ*")</f>
        <v>0</v>
      </c>
    </row>
    <row r="87" spans="1:9" x14ac:dyDescent="0.25">
      <c r="A87" s="1" t="s">
        <v>26</v>
      </c>
      <c r="H87" s="1" t="s">
        <v>136</v>
      </c>
      <c r="I87" s="1">
        <f>COUNTIF(A1:A210,"CR*")</f>
        <v>0</v>
      </c>
    </row>
    <row r="88" spans="1:9" x14ac:dyDescent="0.25">
      <c r="A88" s="1" t="s">
        <v>27</v>
      </c>
      <c r="H88" s="1" t="s">
        <v>137</v>
      </c>
      <c r="I88" s="1">
        <f>COUNTIF(A1:A210,"CS*")</f>
        <v>0</v>
      </c>
    </row>
    <row r="89" spans="1:9" x14ac:dyDescent="0.25">
      <c r="A89" s="1" t="s">
        <v>28</v>
      </c>
      <c r="H89" s="1" t="s">
        <v>138</v>
      </c>
      <c r="I89" s="1">
        <f>COUNTIF(A1:A210,"CT*")</f>
        <v>0</v>
      </c>
    </row>
    <row r="90" spans="1:9" x14ac:dyDescent="0.25">
      <c r="A90" s="1" t="s">
        <v>29</v>
      </c>
      <c r="H90" s="1" t="s">
        <v>139</v>
      </c>
      <c r="I90" s="1">
        <f>COUNTIF(A1:A210,"CU*")</f>
        <v>0</v>
      </c>
    </row>
    <row r="91" spans="1:9" x14ac:dyDescent="0.25">
      <c r="A91" s="1" t="s">
        <v>0</v>
      </c>
      <c r="H91" s="1" t="s">
        <v>140</v>
      </c>
      <c r="I91" s="1">
        <f>COUNTIF(A1:A210,"CV*")</f>
        <v>0</v>
      </c>
    </row>
    <row r="92" spans="1:9" x14ac:dyDescent="0.25">
      <c r="A92" s="1" t="s">
        <v>1</v>
      </c>
      <c r="H92" s="1" t="s">
        <v>141</v>
      </c>
      <c r="I92" s="1">
        <f>COUNTIF(A1:A210,"CW*")</f>
        <v>0</v>
      </c>
    </row>
    <row r="93" spans="1:9" x14ac:dyDescent="0.25">
      <c r="A93" s="1" t="s">
        <v>2</v>
      </c>
      <c r="H93" s="1" t="s">
        <v>142</v>
      </c>
      <c r="I93" s="1">
        <f>COUNTIF(A1:A210,"CX*")</f>
        <v>0</v>
      </c>
    </row>
    <row r="94" spans="1:9" x14ac:dyDescent="0.25">
      <c r="A94" s="1" t="s">
        <v>3</v>
      </c>
      <c r="H94" s="1" t="s">
        <v>143</v>
      </c>
      <c r="I94" s="1">
        <f>COUNTIF(A1:A210,"CY*")</f>
        <v>0</v>
      </c>
    </row>
    <row r="95" spans="1:9" x14ac:dyDescent="0.25">
      <c r="A95" s="1" t="s">
        <v>4</v>
      </c>
      <c r="H95" s="1" t="s">
        <v>144</v>
      </c>
      <c r="I95" s="1">
        <f>COUNTIF(A1:A210,"CZ*")</f>
        <v>0</v>
      </c>
    </row>
    <row r="96" spans="1:9" x14ac:dyDescent="0.25">
      <c r="A96" s="1" t="s">
        <v>5</v>
      </c>
    </row>
    <row r="97" spans="1:9" x14ac:dyDescent="0.25">
      <c r="A97" s="1" t="s">
        <v>6</v>
      </c>
      <c r="H97" s="1" t="s">
        <v>145</v>
      </c>
      <c r="I97" s="1">
        <f>COUNTIF(A1:A210,"DA*")</f>
        <v>7</v>
      </c>
    </row>
    <row r="98" spans="1:9" x14ac:dyDescent="0.25">
      <c r="A98" s="1" t="s">
        <v>7</v>
      </c>
      <c r="H98" s="1" t="s">
        <v>146</v>
      </c>
      <c r="I98" s="1">
        <f>COUNTIF(A1:A210,"DB*")</f>
        <v>0</v>
      </c>
    </row>
    <row r="99" spans="1:9" x14ac:dyDescent="0.25">
      <c r="A99" s="1" t="s">
        <v>8</v>
      </c>
      <c r="H99" s="1" t="s">
        <v>147</v>
      </c>
      <c r="I99" s="1">
        <f>COUNTIF(A1:A210,"DC*")</f>
        <v>0</v>
      </c>
    </row>
    <row r="100" spans="1:9" x14ac:dyDescent="0.25">
      <c r="A100" s="1" t="s">
        <v>9</v>
      </c>
      <c r="H100" s="1" t="s">
        <v>64</v>
      </c>
      <c r="I100" s="1">
        <f>COUNTIF(A1:A210,"DD*")</f>
        <v>0</v>
      </c>
    </row>
    <row r="101" spans="1:9" x14ac:dyDescent="0.25">
      <c r="A101" s="1" t="s">
        <v>10</v>
      </c>
      <c r="H101" s="1" t="s">
        <v>148</v>
      </c>
      <c r="I101" s="1">
        <f>COUNTIF(A1:A210,"DE*")</f>
        <v>7</v>
      </c>
    </row>
    <row r="102" spans="1:9" x14ac:dyDescent="0.25">
      <c r="A102" s="1" t="s">
        <v>11</v>
      </c>
      <c r="H102" s="1" t="s">
        <v>149</v>
      </c>
      <c r="I102" s="1">
        <f>COUNTIF(A1:A210,"DF*")</f>
        <v>0</v>
      </c>
    </row>
    <row r="103" spans="1:9" x14ac:dyDescent="0.25">
      <c r="A103" s="1" t="s">
        <v>12</v>
      </c>
      <c r="H103" s="1" t="s">
        <v>150</v>
      </c>
      <c r="I103" s="1">
        <f>COUNTIF(A1:A210,"DG*")</f>
        <v>0</v>
      </c>
    </row>
    <row r="104" spans="1:9" x14ac:dyDescent="0.25">
      <c r="A104" s="1" t="s">
        <v>13</v>
      </c>
      <c r="H104" s="1" t="s">
        <v>151</v>
      </c>
      <c r="I104" s="1">
        <f>COUNTIF(A1:A210,"DH*")</f>
        <v>0</v>
      </c>
    </row>
    <row r="105" spans="1:9" x14ac:dyDescent="0.25">
      <c r="A105" s="1" t="s">
        <v>14</v>
      </c>
      <c r="H105" s="1" t="s">
        <v>152</v>
      </c>
      <c r="I105" s="1">
        <f>COUNTIF(A1:A210,"DI*")</f>
        <v>0</v>
      </c>
    </row>
    <row r="106" spans="1:9" x14ac:dyDescent="0.25">
      <c r="A106" s="1" t="s">
        <v>15</v>
      </c>
      <c r="H106" s="1" t="s">
        <v>153</v>
      </c>
      <c r="I106" s="1">
        <f>COUNTIF(A1:A210,"DJ*")</f>
        <v>0</v>
      </c>
    </row>
    <row r="107" spans="1:9" x14ac:dyDescent="0.25">
      <c r="A107" s="1" t="s">
        <v>16</v>
      </c>
      <c r="H107" s="1" t="s">
        <v>154</v>
      </c>
      <c r="I107" s="1">
        <f>COUNTIF(A1:A210,"DK*")</f>
        <v>0</v>
      </c>
    </row>
    <row r="108" spans="1:9" x14ac:dyDescent="0.25">
      <c r="A108" s="1" t="s">
        <v>17</v>
      </c>
      <c r="H108" s="1" t="s">
        <v>155</v>
      </c>
      <c r="I108" s="1">
        <f>COUNTIF(A1:A210,"DL*")</f>
        <v>0</v>
      </c>
    </row>
    <row r="109" spans="1:9" x14ac:dyDescent="0.25">
      <c r="A109" s="1" t="s">
        <v>18</v>
      </c>
      <c r="H109" s="1" t="s">
        <v>156</v>
      </c>
      <c r="I109" s="1">
        <f>COUNTIF(A1:A210,"DM*")</f>
        <v>0</v>
      </c>
    </row>
    <row r="110" spans="1:9" x14ac:dyDescent="0.25">
      <c r="A110" s="1" t="s">
        <v>19</v>
      </c>
      <c r="H110" s="1" t="s">
        <v>157</v>
      </c>
      <c r="I110" s="1">
        <f>COUNTIF(A1:A210,"DN*")</f>
        <v>0</v>
      </c>
    </row>
    <row r="111" spans="1:9" x14ac:dyDescent="0.25">
      <c r="A111" s="1" t="s">
        <v>20</v>
      </c>
      <c r="H111" s="1" t="s">
        <v>158</v>
      </c>
      <c r="I111" s="1">
        <f>COUNTIF(A1:A210,"DO*")</f>
        <v>14</v>
      </c>
    </row>
    <row r="112" spans="1:9" x14ac:dyDescent="0.25">
      <c r="A112" s="1" t="s">
        <v>21</v>
      </c>
      <c r="H112" s="1" t="s">
        <v>159</v>
      </c>
      <c r="I112" s="1">
        <f>COUNTIF(A1:A210,"DP*")</f>
        <v>0</v>
      </c>
    </row>
    <row r="113" spans="1:9" x14ac:dyDescent="0.25">
      <c r="A113" s="1" t="s">
        <v>22</v>
      </c>
      <c r="H113" s="1" t="s">
        <v>160</v>
      </c>
      <c r="I113" s="1">
        <f>COUNTIF(A1:A210,"DQ*")</f>
        <v>0</v>
      </c>
    </row>
    <row r="114" spans="1:9" x14ac:dyDescent="0.25">
      <c r="A114" s="1" t="s">
        <v>23</v>
      </c>
      <c r="H114" s="1" t="s">
        <v>161</v>
      </c>
      <c r="I114" s="1">
        <f>COUNTIF(A1:A210,"DR*")</f>
        <v>0</v>
      </c>
    </row>
    <row r="115" spans="1:9" x14ac:dyDescent="0.25">
      <c r="A115" s="1" t="s">
        <v>24</v>
      </c>
      <c r="H115" s="1" t="s">
        <v>162</v>
      </c>
      <c r="I115" s="1">
        <f>COUNTIF(A1:A210,"DS*")</f>
        <v>0</v>
      </c>
    </row>
    <row r="116" spans="1:9" x14ac:dyDescent="0.25">
      <c r="A116" s="1" t="s">
        <v>25</v>
      </c>
      <c r="H116" s="1" t="s">
        <v>163</v>
      </c>
      <c r="I116" s="1">
        <f>COUNTIF(A1:A210,"DT*")</f>
        <v>0</v>
      </c>
    </row>
    <row r="117" spans="1:9" x14ac:dyDescent="0.25">
      <c r="A117" s="1" t="s">
        <v>26</v>
      </c>
      <c r="H117" s="1" t="s">
        <v>164</v>
      </c>
      <c r="I117" s="1">
        <f>COUNTIF(A1:A210,"DU*")</f>
        <v>0</v>
      </c>
    </row>
    <row r="118" spans="1:9" x14ac:dyDescent="0.25">
      <c r="A118" s="1" t="s">
        <v>27</v>
      </c>
      <c r="H118" s="1" t="s">
        <v>165</v>
      </c>
      <c r="I118" s="1">
        <f>COUNTIF(A1:A210,"DV*")</f>
        <v>0</v>
      </c>
    </row>
    <row r="119" spans="1:9" x14ac:dyDescent="0.25">
      <c r="A119" s="1" t="s">
        <v>28</v>
      </c>
      <c r="H119" s="1" t="s">
        <v>166</v>
      </c>
      <c r="I119" s="1">
        <f>COUNTIF(A1:A210,"DW*")</f>
        <v>0</v>
      </c>
    </row>
    <row r="120" spans="1:9" x14ac:dyDescent="0.25">
      <c r="A120" s="1" t="s">
        <v>29</v>
      </c>
      <c r="H120" s="1" t="s">
        <v>167</v>
      </c>
      <c r="I120" s="1">
        <f>COUNTIF(A1:A210,"DX*")</f>
        <v>0</v>
      </c>
    </row>
    <row r="121" spans="1:9" x14ac:dyDescent="0.25">
      <c r="A121" s="1" t="s">
        <v>0</v>
      </c>
      <c r="H121" s="1" t="s">
        <v>168</v>
      </c>
      <c r="I121" s="1">
        <f>COUNTIF(A1:A210,"DY*")</f>
        <v>0</v>
      </c>
    </row>
    <row r="122" spans="1:9" x14ac:dyDescent="0.25">
      <c r="A122" s="1" t="s">
        <v>1</v>
      </c>
      <c r="H122" s="1" t="s">
        <v>169</v>
      </c>
      <c r="I122" s="1">
        <f>COUNTIF(A1:A210,"DZ*")</f>
        <v>0</v>
      </c>
    </row>
    <row r="123" spans="1:9" x14ac:dyDescent="0.25">
      <c r="A123" s="1" t="s">
        <v>2</v>
      </c>
    </row>
    <row r="124" spans="1:9" x14ac:dyDescent="0.25">
      <c r="A124" s="1" t="s">
        <v>3</v>
      </c>
      <c r="H124" s="1" t="s">
        <v>170</v>
      </c>
      <c r="I124" s="1">
        <f>COUNTIF(A1:A210,"EA*")</f>
        <v>0</v>
      </c>
    </row>
    <row r="125" spans="1:9" x14ac:dyDescent="0.25">
      <c r="A125" s="1" t="s">
        <v>4</v>
      </c>
      <c r="H125" s="1" t="s">
        <v>171</v>
      </c>
      <c r="I125" s="1">
        <f>COUNTIF(A1:A210,"EB*")</f>
        <v>0</v>
      </c>
    </row>
    <row r="126" spans="1:9" x14ac:dyDescent="0.25">
      <c r="A126" s="1" t="s">
        <v>5</v>
      </c>
      <c r="H126" s="1" t="s">
        <v>172</v>
      </c>
      <c r="I126" s="1">
        <f>COUNTIF(A1:A210,"EC*")</f>
        <v>0</v>
      </c>
    </row>
    <row r="127" spans="1:9" x14ac:dyDescent="0.25">
      <c r="A127" s="1" t="s">
        <v>6</v>
      </c>
      <c r="H127" s="1" t="s">
        <v>173</v>
      </c>
      <c r="I127" s="1">
        <f>COUNTIF(A1:A210,"ED*")</f>
        <v>0</v>
      </c>
    </row>
    <row r="128" spans="1:9" x14ac:dyDescent="0.25">
      <c r="A128" s="1" t="s">
        <v>7</v>
      </c>
      <c r="H128" s="1" t="s">
        <v>65</v>
      </c>
      <c r="I128" s="1">
        <f>COUNTIF(A1:A210,"EE*")</f>
        <v>0</v>
      </c>
    </row>
    <row r="129" spans="1:9" x14ac:dyDescent="0.25">
      <c r="A129" s="1" t="s">
        <v>8</v>
      </c>
      <c r="H129" s="1" t="s">
        <v>174</v>
      </c>
      <c r="I129" s="1">
        <f>COUNTIF(A1:A210,"EF*")</f>
        <v>0</v>
      </c>
    </row>
    <row r="130" spans="1:9" x14ac:dyDescent="0.25">
      <c r="A130" s="1" t="s">
        <v>9</v>
      </c>
      <c r="H130" s="1" t="s">
        <v>175</v>
      </c>
      <c r="I130" s="1">
        <f>COUNTIF(A1:A210,"EG*")</f>
        <v>0</v>
      </c>
    </row>
    <row r="131" spans="1:9" x14ac:dyDescent="0.25">
      <c r="A131" s="1" t="s">
        <v>10</v>
      </c>
      <c r="H131" s="1" t="s">
        <v>176</v>
      </c>
      <c r="I131" s="1">
        <f>COUNTIF(A1:A210,"EH*")</f>
        <v>0</v>
      </c>
    </row>
    <row r="132" spans="1:9" x14ac:dyDescent="0.25">
      <c r="A132" s="1" t="s">
        <v>11</v>
      </c>
      <c r="H132" s="1" t="s">
        <v>177</v>
      </c>
      <c r="I132" s="1">
        <f>COUNTIF(A1:A210,"EI*")</f>
        <v>0</v>
      </c>
    </row>
    <row r="133" spans="1:9" x14ac:dyDescent="0.25">
      <c r="A133" s="1" t="s">
        <v>12</v>
      </c>
      <c r="H133" s="1" t="s">
        <v>178</v>
      </c>
      <c r="I133" s="1">
        <f>COUNTIF(A1:A210,"EJ*")</f>
        <v>0</v>
      </c>
    </row>
    <row r="134" spans="1:9" x14ac:dyDescent="0.25">
      <c r="A134" s="1" t="s">
        <v>13</v>
      </c>
      <c r="H134" s="1" t="s">
        <v>179</v>
      </c>
      <c r="I134" s="1">
        <f>COUNTIF(A1:A210,"EK*")</f>
        <v>0</v>
      </c>
    </row>
    <row r="135" spans="1:9" x14ac:dyDescent="0.25">
      <c r="A135" s="1" t="s">
        <v>14</v>
      </c>
      <c r="H135" s="1" t="s">
        <v>180</v>
      </c>
      <c r="I135" s="1">
        <f>COUNTIF(A1:A210,"EL*")</f>
        <v>0</v>
      </c>
    </row>
    <row r="136" spans="1:9" x14ac:dyDescent="0.25">
      <c r="A136" s="1" t="s">
        <v>15</v>
      </c>
      <c r="H136" s="1" t="s">
        <v>181</v>
      </c>
      <c r="I136" s="1">
        <f>COUNTIF(A1:A210,"EM*")</f>
        <v>0</v>
      </c>
    </row>
    <row r="137" spans="1:9" x14ac:dyDescent="0.25">
      <c r="A137" s="1" t="s">
        <v>16</v>
      </c>
      <c r="H137" s="1" t="s">
        <v>182</v>
      </c>
      <c r="I137" s="1">
        <f>COUNTIF(A1:A210,"EN*")</f>
        <v>0</v>
      </c>
    </row>
    <row r="138" spans="1:9" x14ac:dyDescent="0.25">
      <c r="A138" s="1" t="s">
        <v>17</v>
      </c>
      <c r="H138" s="1" t="s">
        <v>183</v>
      </c>
      <c r="I138" s="1">
        <f>COUNTIF(A1:A210,"EO*")</f>
        <v>0</v>
      </c>
    </row>
    <row r="139" spans="1:9" x14ac:dyDescent="0.25">
      <c r="A139" s="1" t="s">
        <v>18</v>
      </c>
      <c r="H139" s="1" t="s">
        <v>184</v>
      </c>
      <c r="I139" s="1">
        <f>COUNTIF(A1:A210,"EP*")</f>
        <v>0</v>
      </c>
    </row>
    <row r="140" spans="1:9" x14ac:dyDescent="0.25">
      <c r="A140" s="1" t="s">
        <v>19</v>
      </c>
      <c r="H140" s="1" t="s">
        <v>185</v>
      </c>
      <c r="I140" s="1">
        <f>COUNTIF(A1:A210,"EQ*")</f>
        <v>0</v>
      </c>
    </row>
    <row r="141" spans="1:9" x14ac:dyDescent="0.25">
      <c r="A141" s="1" t="s">
        <v>20</v>
      </c>
      <c r="H141" s="1" t="s">
        <v>186</v>
      </c>
      <c r="I141" s="1">
        <f>COUNTIF(A1:A210,"ER*")</f>
        <v>0</v>
      </c>
    </row>
    <row r="142" spans="1:9" x14ac:dyDescent="0.25">
      <c r="A142" s="1" t="s">
        <v>21</v>
      </c>
      <c r="H142" s="1" t="s">
        <v>187</v>
      </c>
      <c r="I142" s="1">
        <f>COUNTIF(A1:A210,"ES*")</f>
        <v>0</v>
      </c>
    </row>
    <row r="143" spans="1:9" x14ac:dyDescent="0.25">
      <c r="A143" s="1" t="s">
        <v>22</v>
      </c>
      <c r="H143" s="1" t="s">
        <v>188</v>
      </c>
      <c r="I143" s="1">
        <f>COUNTIF(A1:A210,"ET*")</f>
        <v>0</v>
      </c>
    </row>
    <row r="144" spans="1:9" x14ac:dyDescent="0.25">
      <c r="A144" s="1" t="s">
        <v>23</v>
      </c>
      <c r="H144" s="1" t="s">
        <v>189</v>
      </c>
      <c r="I144" s="1">
        <f>COUNTIF(A1:A210,"EU*")</f>
        <v>0</v>
      </c>
    </row>
    <row r="145" spans="1:9" x14ac:dyDescent="0.25">
      <c r="A145" s="1" t="s">
        <v>24</v>
      </c>
      <c r="H145" s="1" t="s">
        <v>190</v>
      </c>
      <c r="I145" s="1">
        <f>COUNTIF(A1:A210,"EV*")</f>
        <v>0</v>
      </c>
    </row>
    <row r="146" spans="1:9" x14ac:dyDescent="0.25">
      <c r="A146" s="1" t="s">
        <v>25</v>
      </c>
      <c r="H146" s="1" t="s">
        <v>191</v>
      </c>
      <c r="I146" s="1">
        <f>COUNTIF(A1:A210,"EW*")</f>
        <v>0</v>
      </c>
    </row>
    <row r="147" spans="1:9" x14ac:dyDescent="0.25">
      <c r="A147" s="1" t="s">
        <v>26</v>
      </c>
      <c r="H147" s="1" t="s">
        <v>192</v>
      </c>
      <c r="I147" s="1">
        <f>COUNTIF(A1:A210,"EX*")</f>
        <v>0</v>
      </c>
    </row>
    <row r="148" spans="1:9" x14ac:dyDescent="0.25">
      <c r="A148" s="1" t="s">
        <v>27</v>
      </c>
      <c r="H148" s="1" t="s">
        <v>193</v>
      </c>
      <c r="I148" s="1">
        <f>COUNTIF(A1:A210,"EY*")</f>
        <v>0</v>
      </c>
    </row>
    <row r="149" spans="1:9" x14ac:dyDescent="0.25">
      <c r="A149" s="1" t="s">
        <v>28</v>
      </c>
      <c r="H149" s="1" t="s">
        <v>194</v>
      </c>
      <c r="I149" s="1">
        <f>COUNTIF(A1:A210,"EZ*")</f>
        <v>0</v>
      </c>
    </row>
    <row r="150" spans="1:9" x14ac:dyDescent="0.25">
      <c r="A150" s="1" t="s">
        <v>29</v>
      </c>
    </row>
    <row r="151" spans="1:9" x14ac:dyDescent="0.25">
      <c r="A151" s="1" t="s">
        <v>0</v>
      </c>
      <c r="H151" s="1" t="s">
        <v>195</v>
      </c>
      <c r="I151" s="1">
        <f>COUNTIF(A1:A210,"FA*")</f>
        <v>0</v>
      </c>
    </row>
    <row r="152" spans="1:9" x14ac:dyDescent="0.25">
      <c r="A152" s="1" t="s">
        <v>1</v>
      </c>
      <c r="H152" s="1" t="s">
        <v>196</v>
      </c>
      <c r="I152" s="1">
        <f>COUNTIF(A1:A210,"FB*")</f>
        <v>0</v>
      </c>
    </row>
    <row r="153" spans="1:9" x14ac:dyDescent="0.25">
      <c r="A153" s="1" t="s">
        <v>2</v>
      </c>
      <c r="H153" s="1" t="s">
        <v>197</v>
      </c>
      <c r="I153" s="1">
        <f>COUNTIF(A1:A210,"FC*")</f>
        <v>0</v>
      </c>
    </row>
    <row r="154" spans="1:9" x14ac:dyDescent="0.25">
      <c r="A154" s="1" t="s">
        <v>3</v>
      </c>
      <c r="H154" s="1" t="s">
        <v>198</v>
      </c>
      <c r="I154" s="1">
        <f>COUNTIF(A1:A210,"FD*")</f>
        <v>0</v>
      </c>
    </row>
    <row r="155" spans="1:9" x14ac:dyDescent="0.25">
      <c r="A155" s="1" t="s">
        <v>4</v>
      </c>
      <c r="H155" s="1" t="s">
        <v>199</v>
      </c>
      <c r="I155" s="1">
        <f>COUNTIF(A1:A210,"FE*")</f>
        <v>0</v>
      </c>
    </row>
    <row r="156" spans="1:9" x14ac:dyDescent="0.25">
      <c r="A156" s="1" t="s">
        <v>5</v>
      </c>
      <c r="H156" s="1" t="s">
        <v>66</v>
      </c>
      <c r="I156" s="1">
        <f>COUNTIF(A1:A210,"FF*")</f>
        <v>0</v>
      </c>
    </row>
    <row r="157" spans="1:9" x14ac:dyDescent="0.25">
      <c r="A157" s="1" t="s">
        <v>6</v>
      </c>
      <c r="H157" s="1" t="s">
        <v>200</v>
      </c>
      <c r="I157" s="1">
        <f>COUNTIF(A1:A210,"FG*")</f>
        <v>0</v>
      </c>
    </row>
    <row r="158" spans="1:9" x14ac:dyDescent="0.25">
      <c r="A158" s="1" t="s">
        <v>7</v>
      </c>
      <c r="H158" s="1" t="s">
        <v>201</v>
      </c>
      <c r="I158" s="1">
        <f>COUNTIF(A1:A210,"FH*")</f>
        <v>0</v>
      </c>
    </row>
    <row r="159" spans="1:9" x14ac:dyDescent="0.25">
      <c r="A159" s="1" t="s">
        <v>8</v>
      </c>
      <c r="H159" s="1" t="s">
        <v>202</v>
      </c>
      <c r="I159" s="1">
        <f>COUNTIF(A1:A210,"FI*")</f>
        <v>0</v>
      </c>
    </row>
    <row r="160" spans="1:9" x14ac:dyDescent="0.25">
      <c r="A160" s="1" t="s">
        <v>9</v>
      </c>
      <c r="H160" s="1" t="s">
        <v>203</v>
      </c>
      <c r="I160" s="1">
        <f>COUNTIF(A1:A210,"FJ*")</f>
        <v>0</v>
      </c>
    </row>
    <row r="161" spans="1:9" x14ac:dyDescent="0.25">
      <c r="A161" s="1" t="s">
        <v>10</v>
      </c>
      <c r="H161" s="1" t="s">
        <v>204</v>
      </c>
      <c r="I161" s="1">
        <f>COUNTIF(A1:A210,"FK*")</f>
        <v>0</v>
      </c>
    </row>
    <row r="162" spans="1:9" x14ac:dyDescent="0.25">
      <c r="A162" s="1" t="s">
        <v>11</v>
      </c>
      <c r="H162" s="1" t="s">
        <v>205</v>
      </c>
      <c r="I162" s="1">
        <f>COUNTIF(A1:A210,"FL*")</f>
        <v>0</v>
      </c>
    </row>
    <row r="163" spans="1:9" x14ac:dyDescent="0.25">
      <c r="A163" s="1" t="s">
        <v>12</v>
      </c>
      <c r="H163" s="1" t="s">
        <v>206</v>
      </c>
      <c r="I163" s="1">
        <f>COUNTIF(A1:A210,"FM*")</f>
        <v>0</v>
      </c>
    </row>
    <row r="164" spans="1:9" x14ac:dyDescent="0.25">
      <c r="A164" s="1" t="s">
        <v>13</v>
      </c>
      <c r="H164" s="1" t="s">
        <v>207</v>
      </c>
      <c r="I164" s="1">
        <f>COUNTIF(A1:A210,"FN*")</f>
        <v>0</v>
      </c>
    </row>
    <row r="165" spans="1:9" x14ac:dyDescent="0.25">
      <c r="A165" s="1" t="s">
        <v>14</v>
      </c>
      <c r="H165" s="1" t="s">
        <v>208</v>
      </c>
      <c r="I165" s="1">
        <f>COUNTIF(A1:A210,"FO*")</f>
        <v>0</v>
      </c>
    </row>
    <row r="166" spans="1:9" x14ac:dyDescent="0.25">
      <c r="A166" s="1" t="s">
        <v>15</v>
      </c>
      <c r="H166" s="1" t="s">
        <v>209</v>
      </c>
      <c r="I166" s="1">
        <f>COUNTIF(A1:A210,"FP*")</f>
        <v>0</v>
      </c>
    </row>
    <row r="167" spans="1:9" x14ac:dyDescent="0.25">
      <c r="A167" s="1" t="s">
        <v>16</v>
      </c>
      <c r="H167" s="1" t="s">
        <v>210</v>
      </c>
      <c r="I167" s="1">
        <f>COUNTIF(A1:A210,"FQ*")</f>
        <v>0</v>
      </c>
    </row>
    <row r="168" spans="1:9" x14ac:dyDescent="0.25">
      <c r="A168" s="1" t="s">
        <v>17</v>
      </c>
      <c r="H168" s="1" t="s">
        <v>211</v>
      </c>
      <c r="I168" s="1">
        <f>COUNTIF(A1:A210,"FR*")</f>
        <v>0</v>
      </c>
    </row>
    <row r="169" spans="1:9" x14ac:dyDescent="0.25">
      <c r="A169" s="1" t="s">
        <v>18</v>
      </c>
      <c r="H169" s="1" t="s">
        <v>212</v>
      </c>
      <c r="I169" s="1">
        <f>COUNTIF(A1:A210,"FS*")</f>
        <v>0</v>
      </c>
    </row>
    <row r="170" spans="1:9" x14ac:dyDescent="0.25">
      <c r="A170" s="1" t="s">
        <v>19</v>
      </c>
      <c r="H170" s="1" t="s">
        <v>213</v>
      </c>
      <c r="I170" s="1">
        <f>COUNTIF(A1:A210,"FT*")</f>
        <v>0</v>
      </c>
    </row>
    <row r="171" spans="1:9" x14ac:dyDescent="0.25">
      <c r="A171" s="1" t="s">
        <v>20</v>
      </c>
      <c r="H171" s="1" t="s">
        <v>214</v>
      </c>
      <c r="I171" s="1">
        <f>COUNTIF(A1:A210,"FU*")</f>
        <v>0</v>
      </c>
    </row>
    <row r="172" spans="1:9" x14ac:dyDescent="0.25">
      <c r="A172" s="1" t="s">
        <v>21</v>
      </c>
      <c r="H172" s="1" t="s">
        <v>215</v>
      </c>
      <c r="I172" s="1">
        <f>COUNTIF(A1:A210,"FV*")</f>
        <v>0</v>
      </c>
    </row>
    <row r="173" spans="1:9" x14ac:dyDescent="0.25">
      <c r="A173" s="1" t="s">
        <v>22</v>
      </c>
      <c r="H173" s="1" t="s">
        <v>216</v>
      </c>
      <c r="I173" s="1">
        <f>COUNTIF(A1:A210,"FW*")</f>
        <v>0</v>
      </c>
    </row>
    <row r="174" spans="1:9" x14ac:dyDescent="0.25">
      <c r="A174" s="1" t="s">
        <v>23</v>
      </c>
      <c r="H174" s="1" t="s">
        <v>217</v>
      </c>
      <c r="I174" s="1">
        <f>COUNTIF(A1:A210,"FX*")</f>
        <v>0</v>
      </c>
    </row>
    <row r="175" spans="1:9" x14ac:dyDescent="0.25">
      <c r="A175" s="1" t="s">
        <v>24</v>
      </c>
      <c r="H175" s="1" t="s">
        <v>218</v>
      </c>
      <c r="I175" s="1">
        <f>COUNTIF(A1:A210,"FY*")</f>
        <v>0</v>
      </c>
    </row>
    <row r="176" spans="1:9" x14ac:dyDescent="0.25">
      <c r="A176" s="1" t="s">
        <v>25</v>
      </c>
      <c r="H176" s="1" t="s">
        <v>219</v>
      </c>
      <c r="I176" s="1">
        <f>COUNTIF(A1:A210,"FZ*")</f>
        <v>0</v>
      </c>
    </row>
    <row r="177" spans="1:9" x14ac:dyDescent="0.25">
      <c r="A177" s="1" t="s">
        <v>26</v>
      </c>
    </row>
    <row r="178" spans="1:9" x14ac:dyDescent="0.25">
      <c r="A178" s="1" t="s">
        <v>27</v>
      </c>
      <c r="H178" s="1" t="s">
        <v>220</v>
      </c>
      <c r="I178" s="1">
        <f>COUNTIF(A1:A210,"GA*")</f>
        <v>14</v>
      </c>
    </row>
    <row r="179" spans="1:9" x14ac:dyDescent="0.25">
      <c r="A179" s="1" t="s">
        <v>28</v>
      </c>
      <c r="H179" s="1" t="s">
        <v>221</v>
      </c>
      <c r="I179" s="1">
        <f>COUNTIF(A1:A210,"GB*")</f>
        <v>0</v>
      </c>
    </row>
    <row r="180" spans="1:9" x14ac:dyDescent="0.25">
      <c r="A180" s="1" t="s">
        <v>29</v>
      </c>
      <c r="H180" s="1" t="s">
        <v>222</v>
      </c>
      <c r="I180" s="1">
        <f>COUNTIF(A1:A210,"GC*")</f>
        <v>0</v>
      </c>
    </row>
    <row r="181" spans="1:9" x14ac:dyDescent="0.25">
      <c r="A181" s="1" t="s">
        <v>0</v>
      </c>
      <c r="H181" s="1" t="s">
        <v>223</v>
      </c>
      <c r="I181" s="1">
        <f>COUNTIF(A1:A210,"GD*")</f>
        <v>0</v>
      </c>
    </row>
    <row r="182" spans="1:9" x14ac:dyDescent="0.25">
      <c r="A182" s="1" t="s">
        <v>1</v>
      </c>
      <c r="H182" s="1" t="s">
        <v>224</v>
      </c>
      <c r="I182" s="1">
        <f>COUNTIF(A1:A210,"GE*")</f>
        <v>0</v>
      </c>
    </row>
    <row r="183" spans="1:9" x14ac:dyDescent="0.25">
      <c r="A183" s="1" t="s">
        <v>2</v>
      </c>
      <c r="H183" s="1" t="s">
        <v>225</v>
      </c>
      <c r="I183" s="1">
        <f>COUNTIF(A1:A210,"GF*")</f>
        <v>0</v>
      </c>
    </row>
    <row r="184" spans="1:9" x14ac:dyDescent="0.25">
      <c r="A184" s="1" t="s">
        <v>3</v>
      </c>
      <c r="H184" s="1" t="s">
        <v>67</v>
      </c>
      <c r="I184" s="1">
        <f>COUNTIF(A1:A210,"GG*")</f>
        <v>0</v>
      </c>
    </row>
    <row r="185" spans="1:9" x14ac:dyDescent="0.25">
      <c r="A185" s="1" t="s">
        <v>4</v>
      </c>
      <c r="H185" s="1" t="s">
        <v>226</v>
      </c>
      <c r="I185" s="1">
        <f>COUNTIF(A1:A210,"GH*")</f>
        <v>0</v>
      </c>
    </row>
    <row r="186" spans="1:9" x14ac:dyDescent="0.25">
      <c r="A186" s="1" t="s">
        <v>5</v>
      </c>
      <c r="H186" s="1" t="s">
        <v>227</v>
      </c>
      <c r="I186" s="1">
        <f>COUNTIF(A1:A210,"GI*")</f>
        <v>0</v>
      </c>
    </row>
    <row r="187" spans="1:9" x14ac:dyDescent="0.25">
      <c r="A187" s="1" t="s">
        <v>6</v>
      </c>
      <c r="H187" s="1" t="s">
        <v>228</v>
      </c>
      <c r="I187" s="1">
        <f>COUNTIF(A1:A210,"GJ*")</f>
        <v>0</v>
      </c>
    </row>
    <row r="188" spans="1:9" x14ac:dyDescent="0.25">
      <c r="A188" s="1" t="s">
        <v>7</v>
      </c>
      <c r="H188" s="1" t="s">
        <v>229</v>
      </c>
      <c r="I188" s="1">
        <f>COUNTIF(A1:A210,"GK*")</f>
        <v>0</v>
      </c>
    </row>
    <row r="189" spans="1:9" x14ac:dyDescent="0.25">
      <c r="A189" s="1" t="s">
        <v>8</v>
      </c>
      <c r="H189" s="1" t="s">
        <v>230</v>
      </c>
      <c r="I189" s="1">
        <f>COUNTIF(A1:A210,"GL*")</f>
        <v>0</v>
      </c>
    </row>
    <row r="190" spans="1:9" x14ac:dyDescent="0.25">
      <c r="A190" s="1" t="s">
        <v>9</v>
      </c>
      <c r="H190" s="1" t="s">
        <v>231</v>
      </c>
      <c r="I190" s="1">
        <f>COUNTIF(A1:A210,"GM*")</f>
        <v>0</v>
      </c>
    </row>
    <row r="191" spans="1:9" x14ac:dyDescent="0.25">
      <c r="A191" s="1" t="s">
        <v>10</v>
      </c>
      <c r="H191" s="1" t="s">
        <v>232</v>
      </c>
      <c r="I191" s="1">
        <f>COUNTIF(A1:A210,"GN*")</f>
        <v>0</v>
      </c>
    </row>
    <row r="192" spans="1:9" x14ac:dyDescent="0.25">
      <c r="A192" s="1" t="s">
        <v>11</v>
      </c>
      <c r="H192" s="1" t="s">
        <v>233</v>
      </c>
      <c r="I192" s="1">
        <f>COUNTIF(A1:A210,"GO*")</f>
        <v>0</v>
      </c>
    </row>
    <row r="193" spans="1:9" x14ac:dyDescent="0.25">
      <c r="A193" s="1" t="s">
        <v>12</v>
      </c>
      <c r="H193" s="1" t="s">
        <v>234</v>
      </c>
      <c r="I193" s="1">
        <f>COUNTIF(A1:A210,"GP*")</f>
        <v>0</v>
      </c>
    </row>
    <row r="194" spans="1:9" x14ac:dyDescent="0.25">
      <c r="A194" s="1" t="s">
        <v>13</v>
      </c>
      <c r="H194" s="1" t="s">
        <v>235</v>
      </c>
      <c r="I194" s="1">
        <f>COUNTIF(A1:A210,"GQ*")</f>
        <v>0</v>
      </c>
    </row>
    <row r="195" spans="1:9" x14ac:dyDescent="0.25">
      <c r="A195" s="1" t="s">
        <v>14</v>
      </c>
      <c r="H195" s="1" t="s">
        <v>236</v>
      </c>
      <c r="I195" s="1">
        <f>COUNTIF(A1:A210,"GR*")</f>
        <v>0</v>
      </c>
    </row>
    <row r="196" spans="1:9" x14ac:dyDescent="0.25">
      <c r="A196" s="1" t="s">
        <v>15</v>
      </c>
      <c r="H196" s="1" t="s">
        <v>237</v>
      </c>
      <c r="I196" s="1">
        <f>COUNTIF(A1:A210,"GS*")</f>
        <v>0</v>
      </c>
    </row>
    <row r="197" spans="1:9" x14ac:dyDescent="0.25">
      <c r="A197" s="1" t="s">
        <v>16</v>
      </c>
      <c r="H197" s="1" t="s">
        <v>238</v>
      </c>
      <c r="I197" s="1">
        <f>COUNTIF(A1:A210,"GT*")</f>
        <v>0</v>
      </c>
    </row>
    <row r="198" spans="1:9" x14ac:dyDescent="0.25">
      <c r="A198" s="1" t="s">
        <v>17</v>
      </c>
      <c r="H198" s="1" t="s">
        <v>239</v>
      </c>
      <c r="I198" s="1">
        <f>COUNTIF(A1:A210,"GU*")</f>
        <v>0</v>
      </c>
    </row>
    <row r="199" spans="1:9" x14ac:dyDescent="0.25">
      <c r="A199" s="1" t="s">
        <v>18</v>
      </c>
      <c r="H199" s="1" t="s">
        <v>240</v>
      </c>
      <c r="I199" s="1">
        <f>COUNTIF(A1:A210,"GV*")</f>
        <v>0</v>
      </c>
    </row>
    <row r="200" spans="1:9" x14ac:dyDescent="0.25">
      <c r="A200" s="1" t="s">
        <v>19</v>
      </c>
      <c r="H200" s="1" t="s">
        <v>241</v>
      </c>
      <c r="I200" s="1">
        <f>COUNTIF(A1:A210,"GW*")</f>
        <v>0</v>
      </c>
    </row>
    <row r="201" spans="1:9" x14ac:dyDescent="0.25">
      <c r="A201" s="1" t="s">
        <v>20</v>
      </c>
      <c r="H201" s="1" t="s">
        <v>242</v>
      </c>
      <c r="I201" s="1">
        <f>COUNTIF(A1:A210,"GX*")</f>
        <v>0</v>
      </c>
    </row>
    <row r="202" spans="1:9" x14ac:dyDescent="0.25">
      <c r="A202" s="1" t="s">
        <v>21</v>
      </c>
      <c r="H202" s="1" t="s">
        <v>243</v>
      </c>
      <c r="I202" s="1">
        <f>COUNTIF(A1:A210,"GY*")</f>
        <v>0</v>
      </c>
    </row>
    <row r="203" spans="1:9" x14ac:dyDescent="0.25">
      <c r="A203" s="1" t="s">
        <v>22</v>
      </c>
      <c r="H203" s="1" t="s">
        <v>244</v>
      </c>
      <c r="I203" s="1">
        <f>COUNTIF(A1:A210,"GZ*")</f>
        <v>0</v>
      </c>
    </row>
    <row r="204" spans="1:9" x14ac:dyDescent="0.25">
      <c r="A204" s="1" t="s">
        <v>23</v>
      </c>
    </row>
    <row r="205" spans="1:9" x14ac:dyDescent="0.25">
      <c r="A205" s="1" t="s">
        <v>24</v>
      </c>
      <c r="H205" s="1" t="s">
        <v>245</v>
      </c>
      <c r="I205" s="1">
        <f>COUNTIF(A1:A210,"HA*")</f>
        <v>7</v>
      </c>
    </row>
    <row r="206" spans="1:9" x14ac:dyDescent="0.25">
      <c r="A206" s="1" t="s">
        <v>25</v>
      </c>
      <c r="H206" s="1" t="s">
        <v>246</v>
      </c>
      <c r="I206" s="1">
        <f>COUNTIF(A1:A210,"HB*")</f>
        <v>0</v>
      </c>
    </row>
    <row r="207" spans="1:9" x14ac:dyDescent="0.25">
      <c r="A207" s="1" t="s">
        <v>26</v>
      </c>
      <c r="H207" s="1" t="s">
        <v>247</v>
      </c>
      <c r="I207" s="1">
        <f>COUNTIF(A1:A210,"HC*")</f>
        <v>0</v>
      </c>
    </row>
    <row r="208" spans="1:9" x14ac:dyDescent="0.25">
      <c r="A208" s="1" t="s">
        <v>27</v>
      </c>
      <c r="H208" s="1" t="s">
        <v>248</v>
      </c>
      <c r="I208" s="1">
        <f>COUNTIF(A1:A210,"HD*")</f>
        <v>0</v>
      </c>
    </row>
    <row r="209" spans="1:27" x14ac:dyDescent="0.25">
      <c r="A209" s="1" t="s">
        <v>28</v>
      </c>
      <c r="H209" s="1" t="s">
        <v>249</v>
      </c>
      <c r="I209" s="1">
        <f>COUNTIF(A1:A210,"HE*")</f>
        <v>0</v>
      </c>
    </row>
    <row r="210" spans="1:27" x14ac:dyDescent="0.25">
      <c r="A210" s="1" t="s">
        <v>29</v>
      </c>
      <c r="H210" s="1" t="s">
        <v>250</v>
      </c>
      <c r="I210" s="1">
        <f>COUNTIF(A1:A210,"HF*")</f>
        <v>0</v>
      </c>
    </row>
    <row r="211" spans="1:27" x14ac:dyDescent="0.25">
      <c r="H211" s="1" t="s">
        <v>251</v>
      </c>
      <c r="I211" s="1">
        <f>COUNTIF(A1:A210,"HG*")</f>
        <v>0</v>
      </c>
    </row>
    <row r="212" spans="1:27" x14ac:dyDescent="0.25">
      <c r="H212" s="1" t="s">
        <v>68</v>
      </c>
      <c r="I212" s="1">
        <f>COUNTIF(A1:A210,"HH*")</f>
        <v>0</v>
      </c>
    </row>
    <row r="213" spans="1:27" x14ac:dyDescent="0.25">
      <c r="H213" s="1" t="s">
        <v>252</v>
      </c>
      <c r="I213" s="1">
        <f>COUNTIF(A1:A210,"HI*")</f>
        <v>0</v>
      </c>
    </row>
    <row r="214" spans="1:27" x14ac:dyDescent="0.25">
      <c r="H214" s="1" t="s">
        <v>253</v>
      </c>
      <c r="I214" s="1">
        <f>COUNTIF(A1:A210,"HJ*")</f>
        <v>0</v>
      </c>
    </row>
    <row r="215" spans="1:27" x14ac:dyDescent="0.25">
      <c r="H215" s="1" t="s">
        <v>254</v>
      </c>
      <c r="I215" s="1">
        <f>COUNTIF(A1:A210,"HK*")</f>
        <v>0</v>
      </c>
      <c r="AA215" s="7"/>
    </row>
    <row r="216" spans="1:27" x14ac:dyDescent="0.25">
      <c r="H216" s="1" t="s">
        <v>255</v>
      </c>
      <c r="I216" s="1">
        <f>COUNTIF(A1:A210,"HL*")</f>
        <v>0</v>
      </c>
      <c r="AA216" s="7"/>
    </row>
    <row r="217" spans="1:27" x14ac:dyDescent="0.25">
      <c r="H217" s="1" t="s">
        <v>256</v>
      </c>
      <c r="I217" s="1">
        <f>COUNTIF(A1:A210,"HM*")</f>
        <v>0</v>
      </c>
      <c r="AA217" s="7"/>
    </row>
    <row r="218" spans="1:27" x14ac:dyDescent="0.25">
      <c r="H218" s="1" t="s">
        <v>257</v>
      </c>
      <c r="I218" s="1">
        <f>COUNTIF(A1:A210,"HN*")</f>
        <v>0</v>
      </c>
      <c r="AA218" s="7"/>
    </row>
    <row r="219" spans="1:27" s="9" customFormat="1" x14ac:dyDescent="0.25">
      <c r="A219" s="8" t="s">
        <v>738</v>
      </c>
      <c r="H219" s="9" t="s">
        <v>276</v>
      </c>
      <c r="I219" s="9">
        <f>COUNTIF(A1:A210,"HO*")</f>
        <v>21</v>
      </c>
    </row>
    <row r="220" spans="1:27" s="9" customFormat="1" x14ac:dyDescent="0.25">
      <c r="H220" s="9" t="s">
        <v>277</v>
      </c>
      <c r="I220" s="9">
        <f>COUNTIF(A1:A210,"HP*")</f>
        <v>0</v>
      </c>
    </row>
    <row r="221" spans="1:27" s="9" customFormat="1" x14ac:dyDescent="0.25">
      <c r="H221" s="9" t="s">
        <v>278</v>
      </c>
      <c r="I221" s="9">
        <f>COUNTIF(A1:A210,"HQ*")</f>
        <v>0</v>
      </c>
    </row>
    <row r="222" spans="1:27" s="9" customFormat="1" x14ac:dyDescent="0.25">
      <c r="H222" s="9" t="s">
        <v>279</v>
      </c>
      <c r="I222" s="9">
        <f>COUNTIF(A1:A210,"HR*")</f>
        <v>0</v>
      </c>
    </row>
    <row r="223" spans="1:27" s="9" customFormat="1" x14ac:dyDescent="0.25">
      <c r="H223" s="9" t="s">
        <v>280</v>
      </c>
      <c r="I223" s="9">
        <f>COUNTIF(A1:A210,"HS*")</f>
        <v>0</v>
      </c>
    </row>
    <row r="224" spans="1:27" s="9" customFormat="1" x14ac:dyDescent="0.25">
      <c r="H224" s="9" t="s">
        <v>281</v>
      </c>
      <c r="I224" s="9">
        <f>COUNTIF(A1:A210,"HT*")</f>
        <v>0</v>
      </c>
    </row>
    <row r="225" spans="8:9" s="9" customFormat="1" x14ac:dyDescent="0.25">
      <c r="H225" s="9" t="s">
        <v>282</v>
      </c>
      <c r="I225" s="9">
        <f>COUNTIF(A1:A210,"HU*")</f>
        <v>0</v>
      </c>
    </row>
    <row r="226" spans="8:9" s="9" customFormat="1" x14ac:dyDescent="0.25">
      <c r="H226" s="9" t="s">
        <v>283</v>
      </c>
      <c r="I226" s="9">
        <f>COUNTIF(A1:A210,"HV*")</f>
        <v>0</v>
      </c>
    </row>
    <row r="227" spans="8:9" s="9" customFormat="1" x14ac:dyDescent="0.25">
      <c r="H227" s="9" t="s">
        <v>284</v>
      </c>
      <c r="I227" s="9">
        <f>COUNTIF(A1:A210,"HW*")</f>
        <v>0</v>
      </c>
    </row>
    <row r="228" spans="8:9" s="9" customFormat="1" x14ac:dyDescent="0.25">
      <c r="H228" s="9" t="s">
        <v>285</v>
      </c>
      <c r="I228" s="9">
        <f>COUNTIF(A1:A210,"HX*")</f>
        <v>0</v>
      </c>
    </row>
    <row r="229" spans="8:9" s="9" customFormat="1" x14ac:dyDescent="0.25">
      <c r="H229" s="9" t="s">
        <v>286</v>
      </c>
      <c r="I229" s="9">
        <f>COUNTIF(A1:A210,"HY*")</f>
        <v>0</v>
      </c>
    </row>
    <row r="230" spans="8:9" s="9" customFormat="1" x14ac:dyDescent="0.25">
      <c r="H230" s="9" t="s">
        <v>287</v>
      </c>
      <c r="I230" s="9">
        <f>COUNTIF(A1:A210,"HZ*")</f>
        <v>0</v>
      </c>
    </row>
    <row r="231" spans="8:9" s="9" customFormat="1" x14ac:dyDescent="0.25"/>
    <row r="232" spans="8:9" s="9" customFormat="1" x14ac:dyDescent="0.25">
      <c r="H232" s="9" t="s">
        <v>288</v>
      </c>
      <c r="I232" s="9">
        <f>COUNTIF(A1:A210,"IA*")</f>
        <v>0</v>
      </c>
    </row>
    <row r="233" spans="8:9" s="9" customFormat="1" x14ac:dyDescent="0.25">
      <c r="H233" s="9" t="s">
        <v>289</v>
      </c>
      <c r="I233" s="9">
        <f>COUNTIF(A1:A210,"IB*")</f>
        <v>0</v>
      </c>
    </row>
    <row r="234" spans="8:9" s="9" customFormat="1" x14ac:dyDescent="0.25">
      <c r="H234" s="9" t="s">
        <v>290</v>
      </c>
      <c r="I234" s="9">
        <f>COUNTIF(A1:A210,"IC*")</f>
        <v>0</v>
      </c>
    </row>
    <row r="235" spans="8:9" s="9" customFormat="1" x14ac:dyDescent="0.25">
      <c r="H235" s="9" t="s">
        <v>291</v>
      </c>
      <c r="I235" s="9">
        <f>COUNTIF(A1:A210,"ID*")</f>
        <v>0</v>
      </c>
    </row>
    <row r="236" spans="8:9" s="9" customFormat="1" x14ac:dyDescent="0.25">
      <c r="H236" s="9" t="s">
        <v>292</v>
      </c>
      <c r="I236" s="9">
        <f>COUNTIF(A1:A210,"IE*")</f>
        <v>0</v>
      </c>
    </row>
    <row r="237" spans="8:9" s="9" customFormat="1" x14ac:dyDescent="0.25">
      <c r="H237" s="9" t="s">
        <v>293</v>
      </c>
      <c r="I237" s="9">
        <f>COUNTIF(A1:A210,"IF*")</f>
        <v>0</v>
      </c>
    </row>
    <row r="238" spans="8:9" s="9" customFormat="1" x14ac:dyDescent="0.25">
      <c r="H238" s="9" t="s">
        <v>294</v>
      </c>
      <c r="I238" s="9">
        <f>COUNTIF(A1:A210,"IG*")</f>
        <v>0</v>
      </c>
    </row>
    <row r="239" spans="8:9" s="9" customFormat="1" x14ac:dyDescent="0.25">
      <c r="H239" s="9" t="s">
        <v>295</v>
      </c>
      <c r="I239" s="9">
        <f>COUNTIF(A1:A210,"IH*")</f>
        <v>0</v>
      </c>
    </row>
    <row r="240" spans="8:9" s="9" customFormat="1" x14ac:dyDescent="0.25">
      <c r="H240" s="9" t="s">
        <v>296</v>
      </c>
      <c r="I240" s="9">
        <f>COUNTIF(A1:A210,"II*")</f>
        <v>0</v>
      </c>
    </row>
    <row r="241" spans="8:9" s="9" customFormat="1" x14ac:dyDescent="0.25">
      <c r="H241" s="9" t="s">
        <v>297</v>
      </c>
      <c r="I241" s="9">
        <f>COUNTIF(A1:A210,"IJ*")</f>
        <v>0</v>
      </c>
    </row>
    <row r="242" spans="8:9" s="9" customFormat="1" x14ac:dyDescent="0.25">
      <c r="H242" s="9" t="s">
        <v>298</v>
      </c>
      <c r="I242" s="9">
        <f>COUNTIF(A1:A210,"IK*")</f>
        <v>0</v>
      </c>
    </row>
    <row r="243" spans="8:9" s="9" customFormat="1" x14ac:dyDescent="0.25">
      <c r="H243" s="9" t="s">
        <v>299</v>
      </c>
      <c r="I243" s="9">
        <f>COUNTIF(A1:A210,"IL*")</f>
        <v>0</v>
      </c>
    </row>
    <row r="244" spans="8:9" s="9" customFormat="1" x14ac:dyDescent="0.25">
      <c r="H244" s="9" t="s">
        <v>300</v>
      </c>
      <c r="I244" s="9">
        <f>COUNTIF(A1:A210,"IM*")</f>
        <v>0</v>
      </c>
    </row>
    <row r="245" spans="8:9" s="9" customFormat="1" x14ac:dyDescent="0.25">
      <c r="H245" s="9" t="s">
        <v>258</v>
      </c>
      <c r="I245" s="9">
        <f>COUNTIF(A1:A210,"IN*")</f>
        <v>0</v>
      </c>
    </row>
    <row r="246" spans="8:9" s="9" customFormat="1" x14ac:dyDescent="0.25">
      <c r="H246" s="9" t="s">
        <v>301</v>
      </c>
      <c r="I246" s="9">
        <f>COUNTIF(A1:A210,"IO*")</f>
        <v>0</v>
      </c>
    </row>
    <row r="247" spans="8:9" s="9" customFormat="1" x14ac:dyDescent="0.25">
      <c r="H247" s="9" t="s">
        <v>302</v>
      </c>
      <c r="I247" s="9">
        <f>COUNTIF(A1:A210,"IP*")</f>
        <v>0</v>
      </c>
    </row>
    <row r="248" spans="8:9" s="9" customFormat="1" x14ac:dyDescent="0.25">
      <c r="H248" s="9" t="s">
        <v>303</v>
      </c>
      <c r="I248" s="9">
        <f>COUNTIF(A1:A210,"IQ*")</f>
        <v>0</v>
      </c>
    </row>
    <row r="249" spans="8:9" s="9" customFormat="1" x14ac:dyDescent="0.25">
      <c r="H249" s="9" t="s">
        <v>304</v>
      </c>
      <c r="I249" s="9">
        <f>COUNTIF(A1:A210,"IR*")</f>
        <v>0</v>
      </c>
    </row>
    <row r="250" spans="8:9" s="9" customFormat="1" x14ac:dyDescent="0.25">
      <c r="H250" s="9" t="s">
        <v>305</v>
      </c>
      <c r="I250" s="9">
        <f>COUNTIF(A1:A210,"IS*")</f>
        <v>0</v>
      </c>
    </row>
    <row r="251" spans="8:9" s="9" customFormat="1" x14ac:dyDescent="0.25">
      <c r="H251" s="9" t="s">
        <v>306</v>
      </c>
      <c r="I251" s="9">
        <f>COUNTIF(A1:A210,"IT*")</f>
        <v>0</v>
      </c>
    </row>
    <row r="252" spans="8:9" s="9" customFormat="1" x14ac:dyDescent="0.25">
      <c r="H252" s="9" t="s">
        <v>307</v>
      </c>
      <c r="I252" s="9">
        <f>COUNTIF(A1:A210,"IU*")</f>
        <v>0</v>
      </c>
    </row>
    <row r="253" spans="8:9" s="9" customFormat="1" x14ac:dyDescent="0.25">
      <c r="H253" s="9" t="s">
        <v>308</v>
      </c>
      <c r="I253" s="9">
        <f>COUNTIF(A1:A210,"IV*")</f>
        <v>0</v>
      </c>
    </row>
    <row r="254" spans="8:9" s="9" customFormat="1" x14ac:dyDescent="0.25">
      <c r="H254" s="9" t="s">
        <v>309</v>
      </c>
      <c r="I254" s="9">
        <f>COUNTIF(A1:A210,"IW*")</f>
        <v>0</v>
      </c>
    </row>
    <row r="255" spans="8:9" s="9" customFormat="1" x14ac:dyDescent="0.25">
      <c r="H255" s="9" t="s">
        <v>310</v>
      </c>
      <c r="I255" s="9">
        <f>COUNTIF(A1:A210,"IX*")</f>
        <v>0</v>
      </c>
    </row>
    <row r="256" spans="8:9" s="9" customFormat="1" x14ac:dyDescent="0.25">
      <c r="H256" s="9" t="s">
        <v>311</v>
      </c>
      <c r="I256" s="9">
        <f>COUNTIF(A1:A210,"IY*")</f>
        <v>0</v>
      </c>
    </row>
    <row r="257" spans="8:9" s="9" customFormat="1" x14ac:dyDescent="0.25">
      <c r="H257" s="9" t="s">
        <v>312</v>
      </c>
      <c r="I257" s="9">
        <f>COUNTIF(A1:A210,"IZ*")</f>
        <v>0</v>
      </c>
    </row>
    <row r="258" spans="8:9" s="9" customFormat="1" x14ac:dyDescent="0.25"/>
    <row r="259" spans="8:9" s="9" customFormat="1" x14ac:dyDescent="0.25">
      <c r="H259" s="9" t="s">
        <v>313</v>
      </c>
      <c r="I259" s="9">
        <f>COUNTIF(A1:A210,"JA*")</f>
        <v>0</v>
      </c>
    </row>
    <row r="260" spans="8:9" s="9" customFormat="1" x14ac:dyDescent="0.25">
      <c r="H260" s="9" t="s">
        <v>314</v>
      </c>
      <c r="I260" s="9">
        <f>COUNTIF(A1:A210,"JB*")</f>
        <v>0</v>
      </c>
    </row>
    <row r="261" spans="8:9" s="9" customFormat="1" x14ac:dyDescent="0.25">
      <c r="H261" s="9" t="s">
        <v>315</v>
      </c>
      <c r="I261" s="9">
        <f>COUNTIF(A1:A210,"JC*")</f>
        <v>0</v>
      </c>
    </row>
    <row r="262" spans="8:9" s="9" customFormat="1" x14ac:dyDescent="0.25">
      <c r="H262" s="9" t="s">
        <v>316</v>
      </c>
      <c r="I262" s="9">
        <f>COUNTIF(A1:A210,"JD*")</f>
        <v>0</v>
      </c>
    </row>
    <row r="263" spans="8:9" s="9" customFormat="1" x14ac:dyDescent="0.25">
      <c r="H263" s="9" t="s">
        <v>317</v>
      </c>
      <c r="I263" s="9">
        <f>COUNTIF(A1:A210,"JE*")</f>
        <v>7</v>
      </c>
    </row>
    <row r="264" spans="8:9" s="9" customFormat="1" x14ac:dyDescent="0.25">
      <c r="H264" s="9" t="s">
        <v>318</v>
      </c>
      <c r="I264" s="9">
        <f>COUNTIF(A1:A210,"JF*")</f>
        <v>0</v>
      </c>
    </row>
    <row r="265" spans="8:9" s="9" customFormat="1" x14ac:dyDescent="0.25">
      <c r="H265" s="9" t="s">
        <v>319</v>
      </c>
      <c r="I265" s="9">
        <f>COUNTIF(A1:A210,"JG*")</f>
        <v>0</v>
      </c>
    </row>
    <row r="266" spans="8:9" s="9" customFormat="1" x14ac:dyDescent="0.25">
      <c r="H266" s="9" t="s">
        <v>320</v>
      </c>
      <c r="I266" s="9">
        <f>COUNTIF(A1:A210,"JH*")</f>
        <v>0</v>
      </c>
    </row>
    <row r="267" spans="8:9" s="9" customFormat="1" x14ac:dyDescent="0.25">
      <c r="H267" s="9" t="s">
        <v>321</v>
      </c>
      <c r="I267" s="9">
        <f>COUNTIF(A1:A210,"JI*")</f>
        <v>0</v>
      </c>
    </row>
    <row r="268" spans="8:9" s="9" customFormat="1" x14ac:dyDescent="0.25">
      <c r="H268" s="9" t="s">
        <v>322</v>
      </c>
      <c r="I268" s="9">
        <f>COUNTIF(A1:A210,"JJ*")</f>
        <v>0</v>
      </c>
    </row>
    <row r="269" spans="8:9" s="9" customFormat="1" x14ac:dyDescent="0.25">
      <c r="H269" s="9" t="s">
        <v>323</v>
      </c>
      <c r="I269" s="9">
        <f>COUNTIF(A1:A210,"JK*")</f>
        <v>0</v>
      </c>
    </row>
    <row r="270" spans="8:9" s="9" customFormat="1" x14ac:dyDescent="0.25">
      <c r="H270" s="9" t="s">
        <v>324</v>
      </c>
      <c r="I270" s="9">
        <f>COUNTIF(A1:A210,"JL*")</f>
        <v>0</v>
      </c>
    </row>
    <row r="271" spans="8:9" s="9" customFormat="1" x14ac:dyDescent="0.25">
      <c r="H271" s="9" t="s">
        <v>325</v>
      </c>
      <c r="I271" s="9">
        <f>COUNTIF(A1:A210,"JM*")</f>
        <v>0</v>
      </c>
    </row>
    <row r="272" spans="8:9" s="9" customFormat="1" x14ac:dyDescent="0.25">
      <c r="H272" s="9" t="s">
        <v>259</v>
      </c>
      <c r="I272" s="9">
        <f>COUNTIF(A1:A210,"JN*")</f>
        <v>0</v>
      </c>
    </row>
    <row r="273" spans="8:9" s="9" customFormat="1" x14ac:dyDescent="0.25">
      <c r="H273" s="9" t="s">
        <v>326</v>
      </c>
      <c r="I273" s="9">
        <f>COUNTIF(A1:A210,"JO*")</f>
        <v>0</v>
      </c>
    </row>
    <row r="274" spans="8:9" s="9" customFormat="1" x14ac:dyDescent="0.25">
      <c r="H274" s="9" t="s">
        <v>327</v>
      </c>
      <c r="I274" s="9">
        <f>COUNTIF(A1:A210,"JP*")</f>
        <v>0</v>
      </c>
    </row>
    <row r="275" spans="8:9" s="9" customFormat="1" x14ac:dyDescent="0.25">
      <c r="H275" s="9" t="s">
        <v>328</v>
      </c>
      <c r="I275" s="9">
        <f>COUNTIF(A1:A210,"JQ*")</f>
        <v>0</v>
      </c>
    </row>
    <row r="276" spans="8:9" s="9" customFormat="1" x14ac:dyDescent="0.25">
      <c r="H276" s="9" t="s">
        <v>329</v>
      </c>
      <c r="I276" s="9">
        <f>COUNTIF(A1:A210,"JR*")</f>
        <v>0</v>
      </c>
    </row>
    <row r="277" spans="8:9" s="9" customFormat="1" x14ac:dyDescent="0.25">
      <c r="H277" s="9" t="s">
        <v>330</v>
      </c>
      <c r="I277" s="9">
        <f>COUNTIF(A1:A210,"JS*")</f>
        <v>0</v>
      </c>
    </row>
    <row r="278" spans="8:9" s="9" customFormat="1" x14ac:dyDescent="0.25">
      <c r="H278" s="9" t="s">
        <v>331</v>
      </c>
      <c r="I278" s="9">
        <f>COUNTIF(A1:A210,"JT*")</f>
        <v>0</v>
      </c>
    </row>
    <row r="279" spans="8:9" s="9" customFormat="1" x14ac:dyDescent="0.25">
      <c r="H279" s="9" t="s">
        <v>332</v>
      </c>
      <c r="I279" s="9">
        <f>COUNTIF(A1:A210,"JU*")</f>
        <v>0</v>
      </c>
    </row>
    <row r="280" spans="8:9" s="9" customFormat="1" x14ac:dyDescent="0.25">
      <c r="H280" s="9" t="s">
        <v>333</v>
      </c>
      <c r="I280" s="9">
        <f>COUNTIF(A1:A210,"JV*")</f>
        <v>0</v>
      </c>
    </row>
    <row r="281" spans="8:9" s="9" customFormat="1" x14ac:dyDescent="0.25">
      <c r="H281" s="9" t="s">
        <v>334</v>
      </c>
      <c r="I281" s="9">
        <f>COUNTIF(A1:A210,"JW*")</f>
        <v>0</v>
      </c>
    </row>
    <row r="282" spans="8:9" s="9" customFormat="1" x14ac:dyDescent="0.25">
      <c r="H282" s="9" t="s">
        <v>335</v>
      </c>
      <c r="I282" s="9">
        <f>COUNTIF(A1:A210,"JX*")</f>
        <v>0</v>
      </c>
    </row>
    <row r="283" spans="8:9" s="9" customFormat="1" x14ac:dyDescent="0.25">
      <c r="H283" s="9" t="s">
        <v>336</v>
      </c>
      <c r="I283" s="9">
        <f>COUNTIF(A1:A210,"JY*")</f>
        <v>0</v>
      </c>
    </row>
    <row r="284" spans="8:9" s="9" customFormat="1" x14ac:dyDescent="0.25">
      <c r="H284" s="9" t="s">
        <v>337</v>
      </c>
      <c r="I284" s="9">
        <f>COUNTIF(A1:A210,"JZ*")</f>
        <v>0</v>
      </c>
    </row>
    <row r="285" spans="8:9" s="9" customFormat="1" x14ac:dyDescent="0.25"/>
    <row r="286" spans="8:9" s="9" customFormat="1" x14ac:dyDescent="0.25">
      <c r="H286" s="9" t="s">
        <v>338</v>
      </c>
      <c r="I286" s="9">
        <f>COUNTIF(A1:A210,"KA*")</f>
        <v>0</v>
      </c>
    </row>
    <row r="287" spans="8:9" s="9" customFormat="1" x14ac:dyDescent="0.25">
      <c r="H287" s="9" t="s">
        <v>339</v>
      </c>
      <c r="I287" s="9">
        <f>COUNTIF(A1:A210,"KB*")</f>
        <v>0</v>
      </c>
    </row>
    <row r="288" spans="8:9" s="9" customFormat="1" x14ac:dyDescent="0.25">
      <c r="H288" s="9" t="s">
        <v>340</v>
      </c>
      <c r="I288" s="9">
        <f>COUNTIF(A1:A210,"KC*")</f>
        <v>0</v>
      </c>
    </row>
    <row r="289" spans="8:9" s="9" customFormat="1" x14ac:dyDescent="0.25">
      <c r="H289" s="9" t="s">
        <v>341</v>
      </c>
      <c r="I289" s="9">
        <f>COUNTIF(A1:A210,"KD*")</f>
        <v>0</v>
      </c>
    </row>
    <row r="290" spans="8:9" s="9" customFormat="1" x14ac:dyDescent="0.25">
      <c r="H290" s="9" t="s">
        <v>342</v>
      </c>
      <c r="I290" s="9">
        <f>COUNTIF(A1:A210,"KE*")</f>
        <v>0</v>
      </c>
    </row>
    <row r="291" spans="8:9" s="9" customFormat="1" x14ac:dyDescent="0.25">
      <c r="H291" s="9" t="s">
        <v>343</v>
      </c>
      <c r="I291" s="9">
        <f>COUNTIF(A1:A210,"KF*")</f>
        <v>0</v>
      </c>
    </row>
    <row r="292" spans="8:9" s="9" customFormat="1" x14ac:dyDescent="0.25">
      <c r="H292" s="9" t="s">
        <v>344</v>
      </c>
      <c r="I292" s="9">
        <f>COUNTIF(A1:A210,"KG*")</f>
        <v>0</v>
      </c>
    </row>
    <row r="293" spans="8:9" s="9" customFormat="1" x14ac:dyDescent="0.25">
      <c r="H293" s="9" t="s">
        <v>345</v>
      </c>
      <c r="I293" s="9">
        <f>COUNTIF(A1:A210,"KH*")</f>
        <v>0</v>
      </c>
    </row>
    <row r="294" spans="8:9" s="9" customFormat="1" x14ac:dyDescent="0.25">
      <c r="H294" s="9" t="s">
        <v>346</v>
      </c>
      <c r="I294" s="9">
        <f>COUNTIF(A1:A210,"KI*")</f>
        <v>0</v>
      </c>
    </row>
    <row r="295" spans="8:9" s="9" customFormat="1" x14ac:dyDescent="0.25">
      <c r="H295" s="9" t="s">
        <v>347</v>
      </c>
      <c r="I295" s="9">
        <f>COUNTIF(A1:A210,"KJ*")</f>
        <v>0</v>
      </c>
    </row>
    <row r="296" spans="8:9" s="9" customFormat="1" x14ac:dyDescent="0.25">
      <c r="H296" s="9" t="s">
        <v>348</v>
      </c>
      <c r="I296" s="9">
        <f>COUNTIF(A1:A210,"KK*")</f>
        <v>0</v>
      </c>
    </row>
    <row r="297" spans="8:9" s="9" customFormat="1" x14ac:dyDescent="0.25">
      <c r="H297" s="9" t="s">
        <v>349</v>
      </c>
      <c r="I297" s="9">
        <f>COUNTIF(A1:A210,"KL*")</f>
        <v>0</v>
      </c>
    </row>
    <row r="298" spans="8:9" s="9" customFormat="1" x14ac:dyDescent="0.25">
      <c r="H298" s="9" t="s">
        <v>350</v>
      </c>
      <c r="I298" s="9">
        <f>COUNTIF(A1:A210,"KM*")</f>
        <v>0</v>
      </c>
    </row>
    <row r="299" spans="8:9" s="9" customFormat="1" x14ac:dyDescent="0.25">
      <c r="H299" s="9" t="s">
        <v>260</v>
      </c>
      <c r="I299" s="9">
        <f>COUNTIF(A1:A210,"KN*")</f>
        <v>0</v>
      </c>
    </row>
    <row r="300" spans="8:9" s="9" customFormat="1" x14ac:dyDescent="0.25">
      <c r="H300" s="9" t="s">
        <v>351</v>
      </c>
      <c r="I300" s="9">
        <f>COUNTIF(A1:A210,"KO*")</f>
        <v>0</v>
      </c>
    </row>
    <row r="301" spans="8:9" s="9" customFormat="1" x14ac:dyDescent="0.25">
      <c r="H301" s="9" t="s">
        <v>352</v>
      </c>
      <c r="I301" s="9">
        <f>COUNTIF(A1:A210,"KP*")</f>
        <v>0</v>
      </c>
    </row>
    <row r="302" spans="8:9" s="9" customFormat="1" x14ac:dyDescent="0.25">
      <c r="H302" s="9" t="s">
        <v>353</v>
      </c>
      <c r="I302" s="9">
        <f>COUNTIF(A1:A210,"KQ*")</f>
        <v>0</v>
      </c>
    </row>
    <row r="303" spans="8:9" s="9" customFormat="1" x14ac:dyDescent="0.25">
      <c r="H303" s="9" t="s">
        <v>354</v>
      </c>
      <c r="I303" s="9">
        <f>COUNTIF(A1:A210,"KR*")</f>
        <v>0</v>
      </c>
    </row>
    <row r="304" spans="8:9" s="9" customFormat="1" x14ac:dyDescent="0.25">
      <c r="H304" s="9" t="s">
        <v>355</v>
      </c>
      <c r="I304" s="9">
        <f>COUNTIF(A1:A210,"KS*")</f>
        <v>0</v>
      </c>
    </row>
    <row r="305" spans="8:9" s="9" customFormat="1" x14ac:dyDescent="0.25">
      <c r="H305" s="9" t="s">
        <v>356</v>
      </c>
      <c r="I305" s="9">
        <f>COUNTIF(A1:A210,"KT*")</f>
        <v>0</v>
      </c>
    </row>
    <row r="306" spans="8:9" s="9" customFormat="1" x14ac:dyDescent="0.25">
      <c r="H306" s="9" t="s">
        <v>357</v>
      </c>
      <c r="I306" s="9">
        <f>COUNTIF(A1:A210,"KU*")</f>
        <v>0</v>
      </c>
    </row>
    <row r="307" spans="8:9" s="9" customFormat="1" x14ac:dyDescent="0.25">
      <c r="H307" s="9" t="s">
        <v>358</v>
      </c>
      <c r="I307" s="9">
        <f>COUNTIF(A1:A210,"KV*")</f>
        <v>0</v>
      </c>
    </row>
    <row r="308" spans="8:9" s="9" customFormat="1" x14ac:dyDescent="0.25">
      <c r="H308" s="9" t="s">
        <v>359</v>
      </c>
      <c r="I308" s="9">
        <f>COUNTIF(A1:A210,"KW*")</f>
        <v>0</v>
      </c>
    </row>
    <row r="309" spans="8:9" s="9" customFormat="1" x14ac:dyDescent="0.25">
      <c r="H309" s="9" t="s">
        <v>360</v>
      </c>
      <c r="I309" s="9">
        <f>COUNTIF(A1:A210,"KX*")</f>
        <v>0</v>
      </c>
    </row>
    <row r="310" spans="8:9" s="9" customFormat="1" x14ac:dyDescent="0.25">
      <c r="H310" s="9" t="s">
        <v>361</v>
      </c>
      <c r="I310" s="9">
        <f>COUNTIF(A1:A210,"KY*")</f>
        <v>0</v>
      </c>
    </row>
    <row r="311" spans="8:9" s="9" customFormat="1" x14ac:dyDescent="0.25">
      <c r="H311" s="9" t="s">
        <v>362</v>
      </c>
      <c r="I311" s="9">
        <f>COUNTIF(A1:A210,"KZ*")</f>
        <v>0</v>
      </c>
    </row>
    <row r="312" spans="8:9" s="9" customFormat="1" x14ac:dyDescent="0.25"/>
    <row r="313" spans="8:9" s="9" customFormat="1" x14ac:dyDescent="0.25">
      <c r="H313" s="9" t="s">
        <v>363</v>
      </c>
      <c r="I313" s="9">
        <f>COUNTIF(A1:A210,"LA*")</f>
        <v>0</v>
      </c>
    </row>
    <row r="314" spans="8:9" s="9" customFormat="1" x14ac:dyDescent="0.25">
      <c r="H314" s="9" t="s">
        <v>364</v>
      </c>
      <c r="I314" s="9">
        <f>COUNTIF(A1:A210,"LB*")</f>
        <v>0</v>
      </c>
    </row>
    <row r="315" spans="8:9" s="9" customFormat="1" x14ac:dyDescent="0.25">
      <c r="H315" s="9" t="s">
        <v>365</v>
      </c>
      <c r="I315" s="9">
        <f>COUNTIF(A1:A210,"LC*")</f>
        <v>0</v>
      </c>
    </row>
    <row r="316" spans="8:9" s="9" customFormat="1" x14ac:dyDescent="0.25">
      <c r="H316" s="9" t="s">
        <v>366</v>
      </c>
      <c r="I316" s="9">
        <f>COUNTIF(A1:A210,"LD*")</f>
        <v>0</v>
      </c>
    </row>
    <row r="317" spans="8:9" s="9" customFormat="1" x14ac:dyDescent="0.25">
      <c r="H317" s="9" t="s">
        <v>367</v>
      </c>
      <c r="I317" s="9">
        <f>COUNTIF(A1:A210,"LE*")</f>
        <v>0</v>
      </c>
    </row>
    <row r="318" spans="8:9" s="9" customFormat="1" x14ac:dyDescent="0.25">
      <c r="H318" s="9" t="s">
        <v>368</v>
      </c>
      <c r="I318" s="9">
        <f>COUNTIF(A1:A210,"LF*")</f>
        <v>0</v>
      </c>
    </row>
    <row r="319" spans="8:9" s="9" customFormat="1" x14ac:dyDescent="0.25">
      <c r="H319" s="9" t="s">
        <v>369</v>
      </c>
      <c r="I319" s="9">
        <f>COUNTIF(A1:A210,"LG*")</f>
        <v>0</v>
      </c>
    </row>
    <row r="320" spans="8:9" s="9" customFormat="1" x14ac:dyDescent="0.25">
      <c r="H320" s="9" t="s">
        <v>370</v>
      </c>
      <c r="I320" s="9">
        <f>COUNTIF(A1:A210,"LH*")</f>
        <v>0</v>
      </c>
    </row>
    <row r="321" spans="8:9" s="9" customFormat="1" x14ac:dyDescent="0.25">
      <c r="H321" s="9" t="s">
        <v>371</v>
      </c>
      <c r="I321" s="9">
        <f>COUNTIF(A1:A210,"LI*")</f>
        <v>7</v>
      </c>
    </row>
    <row r="322" spans="8:9" s="9" customFormat="1" x14ac:dyDescent="0.25">
      <c r="H322" s="9" t="s">
        <v>372</v>
      </c>
      <c r="I322" s="9">
        <f>COUNTIF(A1:A210,"LJ*")</f>
        <v>0</v>
      </c>
    </row>
    <row r="323" spans="8:9" s="9" customFormat="1" x14ac:dyDescent="0.25">
      <c r="H323" s="9" t="s">
        <v>373</v>
      </c>
      <c r="I323" s="9">
        <f>COUNTIF(A1:A210,"LK*")</f>
        <v>0</v>
      </c>
    </row>
    <row r="324" spans="8:9" s="9" customFormat="1" x14ac:dyDescent="0.25">
      <c r="H324" s="9" t="s">
        <v>374</v>
      </c>
      <c r="I324" s="9">
        <f>COUNTIF(A1:A210,"LL*")</f>
        <v>0</v>
      </c>
    </row>
    <row r="325" spans="8:9" s="9" customFormat="1" x14ac:dyDescent="0.25">
      <c r="H325" s="9" t="s">
        <v>375</v>
      </c>
      <c r="I325" s="9">
        <f>COUNTIF(A1:A210,"LM*")</f>
        <v>0</v>
      </c>
    </row>
    <row r="326" spans="8:9" s="9" customFormat="1" x14ac:dyDescent="0.25">
      <c r="H326" s="9" t="s">
        <v>261</v>
      </c>
      <c r="I326" s="9">
        <f>COUNTIF(A1:A210,"LN*")</f>
        <v>0</v>
      </c>
    </row>
    <row r="327" spans="8:9" s="9" customFormat="1" x14ac:dyDescent="0.25">
      <c r="H327" s="9" t="s">
        <v>376</v>
      </c>
      <c r="I327" s="9">
        <f>COUNTIF(A1:A210,"LO*")</f>
        <v>0</v>
      </c>
    </row>
    <row r="328" spans="8:9" s="9" customFormat="1" x14ac:dyDescent="0.25">
      <c r="H328" s="9" t="s">
        <v>377</v>
      </c>
      <c r="I328" s="9">
        <f>COUNTIF(A1:A210,"LP*")</f>
        <v>0</v>
      </c>
    </row>
    <row r="329" spans="8:9" s="9" customFormat="1" x14ac:dyDescent="0.25">
      <c r="H329" s="9" t="s">
        <v>378</v>
      </c>
      <c r="I329" s="9">
        <f>COUNTIF(A1:A210,"LQ*")</f>
        <v>0</v>
      </c>
    </row>
    <row r="330" spans="8:9" s="9" customFormat="1" x14ac:dyDescent="0.25">
      <c r="H330" s="9" t="s">
        <v>379</v>
      </c>
      <c r="I330" s="9">
        <f>COUNTIF(A1:A210,"LR*")</f>
        <v>0</v>
      </c>
    </row>
    <row r="331" spans="8:9" s="9" customFormat="1" x14ac:dyDescent="0.25">
      <c r="H331" s="9" t="s">
        <v>380</v>
      </c>
      <c r="I331" s="9">
        <f>COUNTIF(A1:A210,"LS*")</f>
        <v>0</v>
      </c>
    </row>
    <row r="332" spans="8:9" s="9" customFormat="1" x14ac:dyDescent="0.25">
      <c r="H332" s="9" t="s">
        <v>381</v>
      </c>
      <c r="I332" s="9">
        <f>COUNTIF(A1:A210,"LT*")</f>
        <v>0</v>
      </c>
    </row>
    <row r="333" spans="8:9" s="9" customFormat="1" x14ac:dyDescent="0.25">
      <c r="H333" s="9" t="s">
        <v>382</v>
      </c>
      <c r="I333" s="9">
        <f>COUNTIF(A1:A210,"LU*")</f>
        <v>0</v>
      </c>
    </row>
    <row r="334" spans="8:9" s="9" customFormat="1" x14ac:dyDescent="0.25">
      <c r="H334" s="9" t="s">
        <v>383</v>
      </c>
      <c r="I334" s="9">
        <f>COUNTIF(A1:A210,"LV*")</f>
        <v>0</v>
      </c>
    </row>
    <row r="335" spans="8:9" s="9" customFormat="1" x14ac:dyDescent="0.25">
      <c r="H335" s="9" t="s">
        <v>384</v>
      </c>
      <c r="I335" s="9">
        <f>COUNTIF(A1:A210,"LW*")</f>
        <v>0</v>
      </c>
    </row>
    <row r="336" spans="8:9" s="9" customFormat="1" x14ac:dyDescent="0.25">
      <c r="H336" s="9" t="s">
        <v>385</v>
      </c>
      <c r="I336" s="9">
        <f>COUNTIF(A1:A210,"LX*")</f>
        <v>0</v>
      </c>
    </row>
    <row r="337" spans="8:9" s="9" customFormat="1" x14ac:dyDescent="0.25">
      <c r="H337" s="9" t="s">
        <v>386</v>
      </c>
      <c r="I337" s="9">
        <f>COUNTIF(A1:A210,"LY*")</f>
        <v>0</v>
      </c>
    </row>
    <row r="338" spans="8:9" s="9" customFormat="1" x14ac:dyDescent="0.25">
      <c r="H338" s="9" t="s">
        <v>387</v>
      </c>
      <c r="I338" s="9">
        <f>COUNTIF(A1:A210,"LZ*")</f>
        <v>0</v>
      </c>
    </row>
    <row r="339" spans="8:9" s="9" customFormat="1" x14ac:dyDescent="0.25"/>
    <row r="340" spans="8:9" s="9" customFormat="1" x14ac:dyDescent="0.25">
      <c r="H340" s="9" t="s">
        <v>388</v>
      </c>
      <c r="I340" s="9">
        <f>COUNTIF(A1:A210,"MA*")</f>
        <v>7</v>
      </c>
    </row>
    <row r="341" spans="8:9" s="9" customFormat="1" x14ac:dyDescent="0.25">
      <c r="H341" s="9" t="s">
        <v>389</v>
      </c>
      <c r="I341" s="9">
        <f>COUNTIF(A1:A210,"MB*")</f>
        <v>0</v>
      </c>
    </row>
    <row r="342" spans="8:9" s="9" customFormat="1" x14ac:dyDescent="0.25">
      <c r="H342" s="9" t="s">
        <v>390</v>
      </c>
      <c r="I342" s="9">
        <f>COUNTIF(A1:A210,"MC*")</f>
        <v>0</v>
      </c>
    </row>
    <row r="343" spans="8:9" s="9" customFormat="1" x14ac:dyDescent="0.25">
      <c r="H343" s="9" t="s">
        <v>391</v>
      </c>
      <c r="I343" s="9">
        <f>COUNTIF(A1:A210,"MD*")</f>
        <v>0</v>
      </c>
    </row>
    <row r="344" spans="8:9" s="9" customFormat="1" x14ac:dyDescent="0.25">
      <c r="H344" s="9" t="s">
        <v>392</v>
      </c>
      <c r="I344" s="9">
        <f>COUNTIF(A1:A210,"ME*")</f>
        <v>0</v>
      </c>
    </row>
    <row r="345" spans="8:9" s="9" customFormat="1" x14ac:dyDescent="0.25">
      <c r="H345" s="9" t="s">
        <v>393</v>
      </c>
      <c r="I345" s="9">
        <f>COUNTIF(A1:A210,"MF*")</f>
        <v>0</v>
      </c>
    </row>
    <row r="346" spans="8:9" s="9" customFormat="1" x14ac:dyDescent="0.25">
      <c r="H346" s="9" t="s">
        <v>394</v>
      </c>
      <c r="I346" s="9">
        <f>COUNTIF(A1:A210,"MG*")</f>
        <v>0</v>
      </c>
    </row>
    <row r="347" spans="8:9" s="9" customFormat="1" x14ac:dyDescent="0.25">
      <c r="H347" s="9" t="s">
        <v>395</v>
      </c>
      <c r="I347" s="9">
        <f>COUNTIF(A1:A210,"MH*")</f>
        <v>0</v>
      </c>
    </row>
    <row r="348" spans="8:9" s="9" customFormat="1" x14ac:dyDescent="0.25">
      <c r="H348" s="9" t="s">
        <v>396</v>
      </c>
      <c r="I348" s="9">
        <f>COUNTIF(A1:A210,"MI*")</f>
        <v>0</v>
      </c>
    </row>
    <row r="349" spans="8:9" s="9" customFormat="1" x14ac:dyDescent="0.25">
      <c r="H349" s="9" t="s">
        <v>397</v>
      </c>
      <c r="I349" s="9">
        <f>COUNTIF(A1:A210,"MJ*")</f>
        <v>0</v>
      </c>
    </row>
    <row r="350" spans="8:9" s="9" customFormat="1" x14ac:dyDescent="0.25">
      <c r="H350" s="9" t="s">
        <v>398</v>
      </c>
      <c r="I350" s="9">
        <f>COUNTIF(A1:A210,"MK*")</f>
        <v>0</v>
      </c>
    </row>
    <row r="351" spans="8:9" s="9" customFormat="1" x14ac:dyDescent="0.25">
      <c r="H351" s="9" t="s">
        <v>399</v>
      </c>
      <c r="I351" s="9">
        <f>COUNTIF(A1:A210,"ML*")</f>
        <v>0</v>
      </c>
    </row>
    <row r="352" spans="8:9" s="9" customFormat="1" x14ac:dyDescent="0.25">
      <c r="H352" s="9" t="s">
        <v>400</v>
      </c>
      <c r="I352" s="9">
        <f>COUNTIF(A1:A210,"MM*")</f>
        <v>0</v>
      </c>
    </row>
    <row r="353" spans="8:9" s="9" customFormat="1" x14ac:dyDescent="0.25">
      <c r="H353" s="9" t="s">
        <v>262</v>
      </c>
      <c r="I353" s="9">
        <f>COUNTIF(A1:A210,"MN*")</f>
        <v>0</v>
      </c>
    </row>
    <row r="354" spans="8:9" s="9" customFormat="1" x14ac:dyDescent="0.25">
      <c r="H354" s="9" t="s">
        <v>401</v>
      </c>
      <c r="I354" s="9">
        <f>COUNTIF(A1:A210,"MO*")</f>
        <v>0</v>
      </c>
    </row>
    <row r="355" spans="8:9" s="9" customFormat="1" x14ac:dyDescent="0.25">
      <c r="H355" s="9" t="s">
        <v>402</v>
      </c>
      <c r="I355" s="9">
        <f>COUNTIF(A1:A210,"MP*")</f>
        <v>0</v>
      </c>
    </row>
    <row r="356" spans="8:9" s="9" customFormat="1" x14ac:dyDescent="0.25">
      <c r="H356" s="9" t="s">
        <v>403</v>
      </c>
      <c r="I356" s="9">
        <f>COUNTIF(A1:A210,"MQ*")</f>
        <v>0</v>
      </c>
    </row>
    <row r="357" spans="8:9" s="9" customFormat="1" x14ac:dyDescent="0.25">
      <c r="H357" s="9" t="s">
        <v>404</v>
      </c>
      <c r="I357" s="9">
        <f>COUNTIF(A1:A210,"MR*")</f>
        <v>0</v>
      </c>
    </row>
    <row r="358" spans="8:9" s="9" customFormat="1" x14ac:dyDescent="0.25">
      <c r="H358" s="9" t="s">
        <v>405</v>
      </c>
      <c r="I358" s="9">
        <f>COUNTIF(A1:A210,"MS*")</f>
        <v>0</v>
      </c>
    </row>
    <row r="359" spans="8:9" s="9" customFormat="1" x14ac:dyDescent="0.25">
      <c r="H359" s="9" t="s">
        <v>406</v>
      </c>
      <c r="I359" s="9">
        <f>COUNTIF(A1:A210,"MT*")</f>
        <v>0</v>
      </c>
    </row>
    <row r="360" spans="8:9" s="9" customFormat="1" x14ac:dyDescent="0.25">
      <c r="H360" s="9" t="s">
        <v>407</v>
      </c>
      <c r="I360" s="9">
        <f>COUNTIF(A1:A210,"MU*")</f>
        <v>0</v>
      </c>
    </row>
    <row r="361" spans="8:9" s="9" customFormat="1" x14ac:dyDescent="0.25">
      <c r="H361" s="9" t="s">
        <v>408</v>
      </c>
      <c r="I361" s="9">
        <f>COUNTIF(A1:A210,"MV*")</f>
        <v>0</v>
      </c>
    </row>
    <row r="362" spans="8:9" s="9" customFormat="1" x14ac:dyDescent="0.25">
      <c r="H362" s="9" t="s">
        <v>409</v>
      </c>
      <c r="I362" s="9">
        <f>COUNTIF(A1:A210,"MW*")</f>
        <v>0</v>
      </c>
    </row>
    <row r="363" spans="8:9" s="9" customFormat="1" x14ac:dyDescent="0.25">
      <c r="H363" s="9" t="s">
        <v>410</v>
      </c>
      <c r="I363" s="9">
        <f>COUNTIF(A1:A210,"MX*")</f>
        <v>0</v>
      </c>
    </row>
    <row r="364" spans="8:9" s="9" customFormat="1" x14ac:dyDescent="0.25">
      <c r="H364" s="9" t="s">
        <v>411</v>
      </c>
      <c r="I364" s="9">
        <f>COUNTIF(A1:A210,"MY*")</f>
        <v>0</v>
      </c>
    </row>
    <row r="365" spans="8:9" s="9" customFormat="1" x14ac:dyDescent="0.25">
      <c r="H365" s="9" t="s">
        <v>412</v>
      </c>
      <c r="I365" s="9">
        <f>COUNTIF(A1:A210,"MZ*")</f>
        <v>0</v>
      </c>
    </row>
    <row r="366" spans="8:9" s="9" customFormat="1" x14ac:dyDescent="0.25"/>
    <row r="367" spans="8:9" s="9" customFormat="1" x14ac:dyDescent="0.25">
      <c r="H367" s="9" t="s">
        <v>413</v>
      </c>
      <c r="I367" s="9">
        <f>COUNTIF(A1:A210,"NA*")</f>
        <v>0</v>
      </c>
    </row>
    <row r="368" spans="8:9" s="9" customFormat="1" x14ac:dyDescent="0.25">
      <c r="H368" s="9" t="s">
        <v>414</v>
      </c>
      <c r="I368" s="9">
        <f>COUNTIF(A1:A210,"NB*")</f>
        <v>0</v>
      </c>
    </row>
    <row r="369" spans="8:9" s="9" customFormat="1" x14ac:dyDescent="0.25">
      <c r="H369" s="9" t="s">
        <v>415</v>
      </c>
      <c r="I369" s="9">
        <f>COUNTIF(A1:A210,"NC*")</f>
        <v>0</v>
      </c>
    </row>
    <row r="370" spans="8:9" s="9" customFormat="1" x14ac:dyDescent="0.25">
      <c r="H370" s="9" t="s">
        <v>416</v>
      </c>
      <c r="I370" s="9">
        <f>COUNTIF(A1:A210,"ND*")</f>
        <v>0</v>
      </c>
    </row>
    <row r="371" spans="8:9" s="9" customFormat="1" x14ac:dyDescent="0.25">
      <c r="H371" s="9" t="s">
        <v>417</v>
      </c>
      <c r="I371" s="9">
        <f>COUNTIF(A1:A210,"NE*")</f>
        <v>0</v>
      </c>
    </row>
    <row r="372" spans="8:9" s="9" customFormat="1" x14ac:dyDescent="0.25">
      <c r="H372" s="9" t="s">
        <v>418</v>
      </c>
      <c r="I372" s="9">
        <f>COUNTIF(A1:A210,"NF*")</f>
        <v>0</v>
      </c>
    </row>
    <row r="373" spans="8:9" s="9" customFormat="1" x14ac:dyDescent="0.25">
      <c r="H373" s="9" t="s">
        <v>419</v>
      </c>
      <c r="I373" s="9">
        <f>COUNTIF(A1:A210,"NG*")</f>
        <v>0</v>
      </c>
    </row>
    <row r="374" spans="8:9" s="9" customFormat="1" x14ac:dyDescent="0.25">
      <c r="H374" s="9" t="s">
        <v>420</v>
      </c>
      <c r="I374" s="9">
        <f>COUNTIF(A1:A210,"NH*")</f>
        <v>0</v>
      </c>
    </row>
    <row r="375" spans="8:9" s="9" customFormat="1" x14ac:dyDescent="0.25">
      <c r="H375" s="9" t="s">
        <v>421</v>
      </c>
      <c r="I375" s="9">
        <f>COUNTIF(A1:A210,"NI*")</f>
        <v>7</v>
      </c>
    </row>
    <row r="376" spans="8:9" s="9" customFormat="1" x14ac:dyDescent="0.25">
      <c r="H376" s="9" t="s">
        <v>422</v>
      </c>
      <c r="I376" s="9">
        <f>COUNTIF(A1:A210,"NJ*")</f>
        <v>0</v>
      </c>
    </row>
    <row r="377" spans="8:9" s="9" customFormat="1" x14ac:dyDescent="0.25">
      <c r="H377" s="9" t="s">
        <v>423</v>
      </c>
      <c r="I377" s="9">
        <f>COUNTIF(A1:A210,"NK*")</f>
        <v>0</v>
      </c>
    </row>
    <row r="378" spans="8:9" s="9" customFormat="1" x14ac:dyDescent="0.25">
      <c r="H378" s="9" t="s">
        <v>424</v>
      </c>
      <c r="I378" s="9">
        <f>COUNTIF(A1:A210,"NL*")</f>
        <v>0</v>
      </c>
    </row>
    <row r="379" spans="8:9" s="9" customFormat="1" x14ac:dyDescent="0.25">
      <c r="H379" s="9" t="s">
        <v>425</v>
      </c>
      <c r="I379" s="9">
        <f>COUNTIF(A1:A210,"NM*")</f>
        <v>0</v>
      </c>
    </row>
    <row r="380" spans="8:9" s="9" customFormat="1" x14ac:dyDescent="0.25">
      <c r="H380" s="9" t="s">
        <v>69</v>
      </c>
      <c r="I380" s="9">
        <f>COUNTIF(A1:A210,"NN*")</f>
        <v>0</v>
      </c>
    </row>
    <row r="381" spans="8:9" s="9" customFormat="1" x14ac:dyDescent="0.25">
      <c r="H381" s="9" t="s">
        <v>426</v>
      </c>
      <c r="I381" s="9">
        <f>COUNTIF(A1:A210,"NO*")</f>
        <v>7</v>
      </c>
    </row>
    <row r="382" spans="8:9" s="9" customFormat="1" x14ac:dyDescent="0.25">
      <c r="H382" s="9" t="s">
        <v>427</v>
      </c>
      <c r="I382" s="9">
        <f>COUNTIF(A1:A210,"NP*")</f>
        <v>0</v>
      </c>
    </row>
    <row r="383" spans="8:9" s="9" customFormat="1" x14ac:dyDescent="0.25">
      <c r="H383" s="9" t="s">
        <v>428</v>
      </c>
      <c r="I383" s="9">
        <f>COUNTIF(A1:A210,"NQ*")</f>
        <v>0</v>
      </c>
    </row>
    <row r="384" spans="8:9" s="9" customFormat="1" x14ac:dyDescent="0.25">
      <c r="H384" s="9" t="s">
        <v>429</v>
      </c>
      <c r="I384" s="9">
        <f>COUNTIF(A1:A210,"NR*")</f>
        <v>0</v>
      </c>
    </row>
    <row r="385" spans="8:9" s="9" customFormat="1" x14ac:dyDescent="0.25">
      <c r="H385" s="9" t="s">
        <v>430</v>
      </c>
      <c r="I385" s="9">
        <f>COUNTIF(A1:A210,"NS*")</f>
        <v>0</v>
      </c>
    </row>
    <row r="386" spans="8:9" s="9" customFormat="1" x14ac:dyDescent="0.25">
      <c r="H386" s="9" t="s">
        <v>431</v>
      </c>
      <c r="I386" s="9">
        <f>COUNTIF(A1:A210,"NT*")</f>
        <v>0</v>
      </c>
    </row>
    <row r="387" spans="8:9" s="9" customFormat="1" x14ac:dyDescent="0.25">
      <c r="H387" s="9" t="s">
        <v>432</v>
      </c>
      <c r="I387" s="9">
        <f>COUNTIF(A1:A210,"NU*")</f>
        <v>0</v>
      </c>
    </row>
    <row r="388" spans="8:9" s="9" customFormat="1" x14ac:dyDescent="0.25">
      <c r="H388" s="9" t="s">
        <v>433</v>
      </c>
      <c r="I388" s="9">
        <f>COUNTIF(A1:A210,"NV*")</f>
        <v>0</v>
      </c>
    </row>
    <row r="389" spans="8:9" s="9" customFormat="1" x14ac:dyDescent="0.25">
      <c r="H389" s="9" t="s">
        <v>434</v>
      </c>
      <c r="I389" s="9">
        <f>COUNTIF(A1:A210,"NW*")</f>
        <v>0</v>
      </c>
    </row>
    <row r="390" spans="8:9" s="9" customFormat="1" x14ac:dyDescent="0.25">
      <c r="H390" s="9" t="s">
        <v>435</v>
      </c>
      <c r="I390" s="9">
        <f>COUNTIF(A1:A210,"NX*")</f>
        <v>0</v>
      </c>
    </row>
    <row r="391" spans="8:9" s="9" customFormat="1" x14ac:dyDescent="0.25">
      <c r="H391" s="9" t="s">
        <v>436</v>
      </c>
      <c r="I391" s="9">
        <f>COUNTIF(A1:A210,"NY*")</f>
        <v>0</v>
      </c>
    </row>
    <row r="392" spans="8:9" s="9" customFormat="1" x14ac:dyDescent="0.25">
      <c r="H392" s="9" t="s">
        <v>437</v>
      </c>
      <c r="I392" s="9">
        <f>COUNTIF(A1:A210,"NZ*")</f>
        <v>0</v>
      </c>
    </row>
    <row r="393" spans="8:9" s="9" customFormat="1" x14ac:dyDescent="0.25"/>
    <row r="394" spans="8:9" s="9" customFormat="1" x14ac:dyDescent="0.25">
      <c r="H394" s="9" t="s">
        <v>438</v>
      </c>
      <c r="I394" s="9">
        <f>COUNTIF(A1:A210,"OA*")</f>
        <v>0</v>
      </c>
    </row>
    <row r="395" spans="8:9" s="9" customFormat="1" x14ac:dyDescent="0.25">
      <c r="H395" s="9" t="s">
        <v>439</v>
      </c>
      <c r="I395" s="9">
        <f>COUNTIF(A1:A210,"OB*")</f>
        <v>0</v>
      </c>
    </row>
    <row r="396" spans="8:9" s="9" customFormat="1" x14ac:dyDescent="0.25">
      <c r="H396" s="9" t="s">
        <v>440</v>
      </c>
      <c r="I396" s="9">
        <f>COUNTIF(A1:A210,"OC*")</f>
        <v>0</v>
      </c>
    </row>
    <row r="397" spans="8:9" s="9" customFormat="1" x14ac:dyDescent="0.25">
      <c r="H397" s="9" t="s">
        <v>441</v>
      </c>
      <c r="I397" s="9">
        <f>COUNTIF(A1:A210,"OD*")</f>
        <v>0</v>
      </c>
    </row>
    <row r="398" spans="8:9" s="9" customFormat="1" x14ac:dyDescent="0.25">
      <c r="H398" s="9" t="s">
        <v>442</v>
      </c>
      <c r="I398" s="9">
        <f>COUNTIF(A1:A210,"OE*")</f>
        <v>0</v>
      </c>
    </row>
    <row r="399" spans="8:9" s="9" customFormat="1" x14ac:dyDescent="0.25">
      <c r="H399" s="9" t="s">
        <v>443</v>
      </c>
      <c r="I399" s="9">
        <f>COUNTIF(A1:A210,"OF*")</f>
        <v>0</v>
      </c>
    </row>
    <row r="400" spans="8:9" s="9" customFormat="1" x14ac:dyDescent="0.25">
      <c r="H400" s="9" t="s">
        <v>444</v>
      </c>
      <c r="I400" s="9">
        <f>COUNTIF(A1:A210,"OG*")</f>
        <v>0</v>
      </c>
    </row>
    <row r="401" spans="8:9" s="9" customFormat="1" x14ac:dyDescent="0.25">
      <c r="H401" s="9" t="s">
        <v>445</v>
      </c>
      <c r="I401" s="9">
        <f>COUNTIF(A1:A210,"OH*")</f>
        <v>0</v>
      </c>
    </row>
    <row r="402" spans="8:9" s="9" customFormat="1" x14ac:dyDescent="0.25">
      <c r="H402" s="9" t="s">
        <v>446</v>
      </c>
      <c r="I402" s="9">
        <f>COUNTIF(A1:A210,"OI*")</f>
        <v>0</v>
      </c>
    </row>
    <row r="403" spans="8:9" s="9" customFormat="1" x14ac:dyDescent="0.25">
      <c r="H403" s="9" t="s">
        <v>447</v>
      </c>
      <c r="I403" s="9">
        <f>COUNTIF(A1:A210,"OJ*")</f>
        <v>0</v>
      </c>
    </row>
    <row r="404" spans="8:9" s="9" customFormat="1" x14ac:dyDescent="0.25">
      <c r="H404" s="9" t="s">
        <v>448</v>
      </c>
      <c r="I404" s="9">
        <f>COUNTIF(A1:A210,"OK*")</f>
        <v>0</v>
      </c>
    </row>
    <row r="405" spans="8:9" s="9" customFormat="1" x14ac:dyDescent="0.25">
      <c r="H405" s="9" t="s">
        <v>449</v>
      </c>
      <c r="I405" s="9">
        <f>COUNTIF(A1:A210,"OL*")</f>
        <v>0</v>
      </c>
    </row>
    <row r="406" spans="8:9" s="9" customFormat="1" x14ac:dyDescent="0.25">
      <c r="H406" s="9" t="s">
        <v>450</v>
      </c>
      <c r="I406" s="9">
        <f>COUNTIF(A1:A210,"OM*")</f>
        <v>0</v>
      </c>
    </row>
    <row r="407" spans="8:9" s="9" customFormat="1" x14ac:dyDescent="0.25">
      <c r="H407" s="9" t="s">
        <v>263</v>
      </c>
      <c r="I407" s="9">
        <f>COUNTIF(A1:A210,"ON*")</f>
        <v>0</v>
      </c>
    </row>
    <row r="408" spans="8:9" s="9" customFormat="1" x14ac:dyDescent="0.25">
      <c r="H408" s="9" t="s">
        <v>451</v>
      </c>
      <c r="I408" s="9">
        <f>COUNTIF(A1:A210,"OO*")</f>
        <v>0</v>
      </c>
    </row>
    <row r="409" spans="8:9" s="9" customFormat="1" x14ac:dyDescent="0.25">
      <c r="H409" s="9" t="s">
        <v>452</v>
      </c>
      <c r="I409" s="9">
        <f>COUNTIF(A1:A210,"OP*")</f>
        <v>0</v>
      </c>
    </row>
    <row r="410" spans="8:9" s="9" customFormat="1" x14ac:dyDescent="0.25">
      <c r="H410" s="9" t="s">
        <v>453</v>
      </c>
      <c r="I410" s="9">
        <f>COUNTIF(A1:A210,"OQ*")</f>
        <v>0</v>
      </c>
    </row>
    <row r="411" spans="8:9" s="9" customFormat="1" x14ac:dyDescent="0.25">
      <c r="H411" s="9" t="s">
        <v>454</v>
      </c>
      <c r="I411" s="9">
        <f>COUNTIF(A1:A210,"OR*")</f>
        <v>0</v>
      </c>
    </row>
    <row r="412" spans="8:9" s="9" customFormat="1" x14ac:dyDescent="0.25">
      <c r="H412" s="9" t="s">
        <v>455</v>
      </c>
      <c r="I412" s="9">
        <f>COUNTIF(A1:A210,"OS*")</f>
        <v>0</v>
      </c>
    </row>
    <row r="413" spans="8:9" s="9" customFormat="1" x14ac:dyDescent="0.25">
      <c r="H413" s="9" t="s">
        <v>456</v>
      </c>
      <c r="I413" s="9">
        <f>COUNTIF(A1:A210,"OT*")</f>
        <v>0</v>
      </c>
    </row>
    <row r="414" spans="8:9" s="9" customFormat="1" x14ac:dyDescent="0.25">
      <c r="H414" s="9" t="s">
        <v>457</v>
      </c>
      <c r="I414" s="9">
        <f>COUNTIF(A1:A210,"OU*")</f>
        <v>0</v>
      </c>
    </row>
    <row r="415" spans="8:9" s="9" customFormat="1" x14ac:dyDescent="0.25">
      <c r="H415" s="9" t="s">
        <v>458</v>
      </c>
      <c r="I415" s="9">
        <f>COUNTIF(A1:A210,"OV*")</f>
        <v>0</v>
      </c>
    </row>
    <row r="416" spans="8:9" s="9" customFormat="1" x14ac:dyDescent="0.25">
      <c r="H416" s="9" t="s">
        <v>459</v>
      </c>
      <c r="I416" s="9">
        <f>COUNTIF(A1:A210,"OW*")</f>
        <v>0</v>
      </c>
    </row>
    <row r="417" spans="8:9" s="9" customFormat="1" x14ac:dyDescent="0.25">
      <c r="H417" s="9" t="s">
        <v>460</v>
      </c>
      <c r="I417" s="9">
        <f>COUNTIF(A1:A210,"OX*")</f>
        <v>0</v>
      </c>
    </row>
    <row r="418" spans="8:9" s="9" customFormat="1" x14ac:dyDescent="0.25">
      <c r="H418" s="9" t="s">
        <v>461</v>
      </c>
      <c r="I418" s="9">
        <f>COUNTIF(A1:A210,"OY*")</f>
        <v>0</v>
      </c>
    </row>
    <row r="419" spans="8:9" s="9" customFormat="1" x14ac:dyDescent="0.25">
      <c r="H419" s="9" t="s">
        <v>462</v>
      </c>
      <c r="I419" s="9">
        <f>COUNTIF(A1:A210,"OZ*")</f>
        <v>0</v>
      </c>
    </row>
    <row r="420" spans="8:9" s="9" customFormat="1" x14ac:dyDescent="0.25"/>
    <row r="421" spans="8:9" s="9" customFormat="1" x14ac:dyDescent="0.25">
      <c r="H421" s="9" t="s">
        <v>463</v>
      </c>
      <c r="I421" s="9">
        <f>COUNTIF(A1:A210,"PA*")</f>
        <v>0</v>
      </c>
    </row>
    <row r="422" spans="8:9" s="9" customFormat="1" x14ac:dyDescent="0.25">
      <c r="H422" s="9" t="s">
        <v>464</v>
      </c>
      <c r="I422" s="9">
        <f>COUNTIF(A1:A210,"PB*")</f>
        <v>0</v>
      </c>
    </row>
    <row r="423" spans="8:9" s="9" customFormat="1" x14ac:dyDescent="0.25">
      <c r="H423" s="9" t="s">
        <v>465</v>
      </c>
      <c r="I423" s="9">
        <f>COUNTIF(A1:A210,"PC*")</f>
        <v>0</v>
      </c>
    </row>
    <row r="424" spans="8:9" s="9" customFormat="1" x14ac:dyDescent="0.25">
      <c r="H424" s="9" t="s">
        <v>466</v>
      </c>
      <c r="I424" s="9">
        <f>COUNTIF(A1:A210,"PD*")</f>
        <v>0</v>
      </c>
    </row>
    <row r="425" spans="8:9" s="9" customFormat="1" x14ac:dyDescent="0.25">
      <c r="H425" s="9" t="s">
        <v>467</v>
      </c>
      <c r="I425" s="9">
        <f>COUNTIF(A1:A210,"PE*")</f>
        <v>0</v>
      </c>
    </row>
    <row r="426" spans="8:9" s="9" customFormat="1" x14ac:dyDescent="0.25">
      <c r="H426" s="9" t="s">
        <v>468</v>
      </c>
      <c r="I426" s="9">
        <f>COUNTIF(A1:A210,"PF*")</f>
        <v>0</v>
      </c>
    </row>
    <row r="427" spans="8:9" s="9" customFormat="1" x14ac:dyDescent="0.25">
      <c r="H427" s="9" t="s">
        <v>469</v>
      </c>
      <c r="I427" s="9">
        <f>COUNTIF(A1:A210,"PG*")</f>
        <v>0</v>
      </c>
    </row>
    <row r="428" spans="8:9" s="9" customFormat="1" x14ac:dyDescent="0.25">
      <c r="H428" s="9" t="s">
        <v>470</v>
      </c>
      <c r="I428" s="9">
        <f>COUNTIF(A1:A210,"PH*")</f>
        <v>0</v>
      </c>
    </row>
    <row r="429" spans="8:9" s="9" customFormat="1" x14ac:dyDescent="0.25">
      <c r="H429" s="9" t="s">
        <v>471</v>
      </c>
      <c r="I429" s="9">
        <f>COUNTIF(A1:A210,"PI*")</f>
        <v>0</v>
      </c>
    </row>
    <row r="430" spans="8:9" s="9" customFormat="1" x14ac:dyDescent="0.25">
      <c r="H430" s="9" t="s">
        <v>472</v>
      </c>
      <c r="I430" s="9">
        <f>COUNTIF(A1:A210,"PJ*")</f>
        <v>0</v>
      </c>
    </row>
    <row r="431" spans="8:9" s="9" customFormat="1" x14ac:dyDescent="0.25">
      <c r="H431" s="9" t="s">
        <v>473</v>
      </c>
      <c r="I431" s="9">
        <f>COUNTIF(A1:A210,"PK*")</f>
        <v>0</v>
      </c>
    </row>
    <row r="432" spans="8:9" s="9" customFormat="1" x14ac:dyDescent="0.25">
      <c r="H432" s="9" t="s">
        <v>474</v>
      </c>
      <c r="I432" s="9">
        <f>COUNTIF(A1:A210,"PL*")</f>
        <v>0</v>
      </c>
    </row>
    <row r="433" spans="8:9" s="9" customFormat="1" x14ac:dyDescent="0.25">
      <c r="H433" s="9" t="s">
        <v>475</v>
      </c>
      <c r="I433" s="9">
        <f>COUNTIF(A1:A210,"PM*")</f>
        <v>0</v>
      </c>
    </row>
    <row r="434" spans="8:9" s="9" customFormat="1" x14ac:dyDescent="0.25">
      <c r="H434" s="9" t="s">
        <v>264</v>
      </c>
      <c r="I434" s="9">
        <f>COUNTIF(A1:A210,"PN*")</f>
        <v>0</v>
      </c>
    </row>
    <row r="435" spans="8:9" s="9" customFormat="1" x14ac:dyDescent="0.25">
      <c r="H435" s="9" t="s">
        <v>476</v>
      </c>
      <c r="I435" s="9">
        <f>COUNTIF(A1:A210,"PO*")</f>
        <v>0</v>
      </c>
    </row>
    <row r="436" spans="8:9" s="9" customFormat="1" x14ac:dyDescent="0.25">
      <c r="H436" s="9" t="s">
        <v>477</v>
      </c>
      <c r="I436" s="9">
        <f>COUNTIF(A1:A210,"PP*")</f>
        <v>0</v>
      </c>
    </row>
    <row r="437" spans="8:9" s="9" customFormat="1" x14ac:dyDescent="0.25">
      <c r="H437" s="9" t="s">
        <v>478</v>
      </c>
      <c r="I437" s="9">
        <f>COUNTIF(A1:A210,"PQ*")</f>
        <v>0</v>
      </c>
    </row>
    <row r="438" spans="8:9" s="9" customFormat="1" x14ac:dyDescent="0.25">
      <c r="H438" s="9" t="s">
        <v>479</v>
      </c>
      <c r="I438" s="9">
        <f>COUNTIF(A1:A210,"PR*")</f>
        <v>0</v>
      </c>
    </row>
    <row r="439" spans="8:9" s="9" customFormat="1" x14ac:dyDescent="0.25">
      <c r="H439" s="9" t="s">
        <v>480</v>
      </c>
      <c r="I439" s="9">
        <f>COUNTIF(A1:A210,"PS*")</f>
        <v>0</v>
      </c>
    </row>
    <row r="440" spans="8:9" s="9" customFormat="1" x14ac:dyDescent="0.25">
      <c r="H440" s="9" t="s">
        <v>481</v>
      </c>
      <c r="I440" s="9">
        <f>COUNTIF(A1:A210,"PT*")</f>
        <v>0</v>
      </c>
    </row>
    <row r="441" spans="8:9" s="9" customFormat="1" x14ac:dyDescent="0.25">
      <c r="H441" s="9" t="s">
        <v>482</v>
      </c>
      <c r="I441" s="9">
        <f>COUNTIF(A1:A210,"PU*")</f>
        <v>0</v>
      </c>
    </row>
    <row r="442" spans="8:9" s="9" customFormat="1" x14ac:dyDescent="0.25">
      <c r="H442" s="9" t="s">
        <v>483</v>
      </c>
      <c r="I442" s="9">
        <f>COUNTIF(A1:A210,"PV*")</f>
        <v>0</v>
      </c>
    </row>
    <row r="443" spans="8:9" s="9" customFormat="1" x14ac:dyDescent="0.25">
      <c r="H443" s="9" t="s">
        <v>484</v>
      </c>
      <c r="I443" s="9">
        <f>COUNTIF(A1:A210,"PW*")</f>
        <v>0</v>
      </c>
    </row>
    <row r="444" spans="8:9" s="9" customFormat="1" x14ac:dyDescent="0.25">
      <c r="H444" s="9" t="s">
        <v>485</v>
      </c>
      <c r="I444" s="9">
        <f>COUNTIF(A1:A210,"PX*")</f>
        <v>0</v>
      </c>
    </row>
    <row r="445" spans="8:9" s="9" customFormat="1" x14ac:dyDescent="0.25">
      <c r="H445" s="9" t="s">
        <v>486</v>
      </c>
      <c r="I445" s="9">
        <f>COUNTIF(A1:A210,"PY*")</f>
        <v>0</v>
      </c>
    </row>
    <row r="446" spans="8:9" s="9" customFormat="1" x14ac:dyDescent="0.25">
      <c r="H446" s="9" t="s">
        <v>487</v>
      </c>
      <c r="I446" s="9">
        <f>COUNTIF(A1:A210,"PZ*")</f>
        <v>0</v>
      </c>
    </row>
    <row r="447" spans="8:9" s="9" customFormat="1" x14ac:dyDescent="0.25"/>
    <row r="448" spans="8:9" s="9" customFormat="1" x14ac:dyDescent="0.25">
      <c r="H448" s="9" t="s">
        <v>488</v>
      </c>
      <c r="I448" s="9">
        <f>COUNTIF(A1:A210,"QA*")</f>
        <v>0</v>
      </c>
    </row>
    <row r="449" spans="8:9" s="9" customFormat="1" x14ac:dyDescent="0.25">
      <c r="H449" s="9" t="s">
        <v>489</v>
      </c>
      <c r="I449" s="9">
        <f>COUNTIF(A1:A210,"QB*")</f>
        <v>0</v>
      </c>
    </row>
    <row r="450" spans="8:9" s="9" customFormat="1" x14ac:dyDescent="0.25">
      <c r="H450" s="9" t="s">
        <v>490</v>
      </c>
      <c r="I450" s="9">
        <f>COUNTIF(A1:A210,"QC*")</f>
        <v>0</v>
      </c>
    </row>
    <row r="451" spans="8:9" s="9" customFormat="1" x14ac:dyDescent="0.25">
      <c r="H451" s="9" t="s">
        <v>491</v>
      </c>
      <c r="I451" s="9">
        <f>COUNTIF(A1:A210,"QD*")</f>
        <v>0</v>
      </c>
    </row>
    <row r="452" spans="8:9" s="9" customFormat="1" x14ac:dyDescent="0.25">
      <c r="H452" s="9" t="s">
        <v>492</v>
      </c>
      <c r="I452" s="9">
        <f>COUNTIF(A1:A210,"QE*")</f>
        <v>0</v>
      </c>
    </row>
    <row r="453" spans="8:9" s="9" customFormat="1" x14ac:dyDescent="0.25">
      <c r="H453" s="9" t="s">
        <v>493</v>
      </c>
      <c r="I453" s="9">
        <f>COUNTIF(A1:A210,"QF*")</f>
        <v>0</v>
      </c>
    </row>
    <row r="454" spans="8:9" s="9" customFormat="1" x14ac:dyDescent="0.25">
      <c r="H454" s="9" t="s">
        <v>494</v>
      </c>
      <c r="I454" s="9">
        <f>COUNTIF(A1:A210,"QG*")</f>
        <v>0</v>
      </c>
    </row>
    <row r="455" spans="8:9" s="9" customFormat="1" x14ac:dyDescent="0.25">
      <c r="H455" s="9" t="s">
        <v>495</v>
      </c>
      <c r="I455" s="9">
        <f>COUNTIF(A1:A210,"QH*")</f>
        <v>0</v>
      </c>
    </row>
    <row r="456" spans="8:9" s="9" customFormat="1" x14ac:dyDescent="0.25">
      <c r="H456" s="9" t="s">
        <v>496</v>
      </c>
      <c r="I456" s="9">
        <f>COUNTIF(A1:A210,"QI*")</f>
        <v>0</v>
      </c>
    </row>
    <row r="457" spans="8:9" s="9" customFormat="1" x14ac:dyDescent="0.25">
      <c r="H457" s="9" t="s">
        <v>497</v>
      </c>
      <c r="I457" s="9">
        <f>COUNTIF(A1:A210,"QJ*")</f>
        <v>0</v>
      </c>
    </row>
    <row r="458" spans="8:9" s="9" customFormat="1" x14ac:dyDescent="0.25">
      <c r="H458" s="9" t="s">
        <v>498</v>
      </c>
      <c r="I458" s="9">
        <f>COUNTIF(A1:A210,"QK*")</f>
        <v>0</v>
      </c>
    </row>
    <row r="459" spans="8:9" s="9" customFormat="1" x14ac:dyDescent="0.25">
      <c r="H459" s="9" t="s">
        <v>499</v>
      </c>
      <c r="I459" s="9">
        <f>COUNTIF(A1:A210,"QL*")</f>
        <v>0</v>
      </c>
    </row>
    <row r="460" spans="8:9" s="9" customFormat="1" x14ac:dyDescent="0.25">
      <c r="H460" s="9" t="s">
        <v>500</v>
      </c>
      <c r="I460" s="9">
        <f>COUNTIF(A1:A210,"QM*")</f>
        <v>0</v>
      </c>
    </row>
    <row r="461" spans="8:9" s="9" customFormat="1" x14ac:dyDescent="0.25">
      <c r="H461" s="9" t="s">
        <v>265</v>
      </c>
      <c r="I461" s="9">
        <f>COUNTIF(A1:A210,"QN*")</f>
        <v>0</v>
      </c>
    </row>
    <row r="462" spans="8:9" s="9" customFormat="1" x14ac:dyDescent="0.25">
      <c r="H462" s="9" t="s">
        <v>501</v>
      </c>
      <c r="I462" s="9">
        <f>COUNTIF(A1:A210,"QO*")</f>
        <v>0</v>
      </c>
    </row>
    <row r="463" spans="8:9" s="9" customFormat="1" x14ac:dyDescent="0.25">
      <c r="H463" s="9" t="s">
        <v>502</v>
      </c>
      <c r="I463" s="9">
        <f>COUNTIF(A1:A210,"QP*")</f>
        <v>0</v>
      </c>
    </row>
    <row r="464" spans="8:9" s="9" customFormat="1" x14ac:dyDescent="0.25">
      <c r="H464" s="9" t="s">
        <v>503</v>
      </c>
      <c r="I464" s="9">
        <f>COUNTIF(A1:A210,"QQ*")</f>
        <v>0</v>
      </c>
    </row>
    <row r="465" spans="8:9" s="9" customFormat="1" x14ac:dyDescent="0.25">
      <c r="H465" s="9" t="s">
        <v>504</v>
      </c>
      <c r="I465" s="9">
        <f>COUNTIF(A1:A210,"QR*")</f>
        <v>0</v>
      </c>
    </row>
    <row r="466" spans="8:9" s="9" customFormat="1" x14ac:dyDescent="0.25">
      <c r="H466" s="9" t="s">
        <v>505</v>
      </c>
      <c r="I466" s="9">
        <f>COUNTIF(A1:A210,"QS*")</f>
        <v>0</v>
      </c>
    </row>
    <row r="467" spans="8:9" s="9" customFormat="1" x14ac:dyDescent="0.25">
      <c r="H467" s="9" t="s">
        <v>506</v>
      </c>
      <c r="I467" s="9">
        <f>COUNTIF(A1:A210,"QT*")</f>
        <v>0</v>
      </c>
    </row>
    <row r="468" spans="8:9" s="9" customFormat="1" x14ac:dyDescent="0.25">
      <c r="H468" s="9" t="s">
        <v>507</v>
      </c>
      <c r="I468" s="9">
        <f>COUNTIF(A1:A210,"QU*")</f>
        <v>0</v>
      </c>
    </row>
    <row r="469" spans="8:9" s="9" customFormat="1" x14ac:dyDescent="0.25">
      <c r="H469" s="9" t="s">
        <v>508</v>
      </c>
      <c r="I469" s="9">
        <f>COUNTIF(A1:A210,"QV*")</f>
        <v>0</v>
      </c>
    </row>
    <row r="470" spans="8:9" s="9" customFormat="1" x14ac:dyDescent="0.25">
      <c r="H470" s="9" t="s">
        <v>509</v>
      </c>
      <c r="I470" s="9">
        <f>COUNTIF(A1:A210,"QW*")</f>
        <v>0</v>
      </c>
    </row>
    <row r="471" spans="8:9" s="9" customFormat="1" x14ac:dyDescent="0.25">
      <c r="H471" s="9" t="s">
        <v>510</v>
      </c>
      <c r="I471" s="9">
        <f>COUNTIF(A1:A210,"QX*")</f>
        <v>0</v>
      </c>
    </row>
    <row r="472" spans="8:9" s="9" customFormat="1" x14ac:dyDescent="0.25">
      <c r="H472" s="9" t="s">
        <v>511</v>
      </c>
      <c r="I472" s="9">
        <f>COUNTIF(A1:A210,"QY*")</f>
        <v>0</v>
      </c>
    </row>
    <row r="473" spans="8:9" s="9" customFormat="1" x14ac:dyDescent="0.25">
      <c r="H473" s="9" t="s">
        <v>512</v>
      </c>
      <c r="I473" s="9">
        <f>COUNTIF(A1:A210,"QZ*")</f>
        <v>0</v>
      </c>
    </row>
    <row r="474" spans="8:9" s="9" customFormat="1" x14ac:dyDescent="0.25"/>
    <row r="475" spans="8:9" s="9" customFormat="1" x14ac:dyDescent="0.25">
      <c r="H475" s="9" t="s">
        <v>513</v>
      </c>
      <c r="I475" s="9">
        <f>COUNTIF(A1:A210,"RA*")</f>
        <v>0</v>
      </c>
    </row>
    <row r="476" spans="8:9" s="9" customFormat="1" x14ac:dyDescent="0.25">
      <c r="H476" s="9" t="s">
        <v>514</v>
      </c>
      <c r="I476" s="9">
        <f>COUNTIF(A1:A210,"RB*")</f>
        <v>0</v>
      </c>
    </row>
    <row r="477" spans="8:9" s="9" customFormat="1" x14ac:dyDescent="0.25">
      <c r="H477" s="9" t="s">
        <v>515</v>
      </c>
      <c r="I477" s="9">
        <f>COUNTIF(A1:A210,"RC*")</f>
        <v>0</v>
      </c>
    </row>
    <row r="478" spans="8:9" s="9" customFormat="1" x14ac:dyDescent="0.25">
      <c r="H478" s="9" t="s">
        <v>516</v>
      </c>
      <c r="I478" s="9">
        <f>COUNTIF(A1:A210,"RD*")</f>
        <v>0</v>
      </c>
    </row>
    <row r="479" spans="8:9" s="9" customFormat="1" x14ac:dyDescent="0.25">
      <c r="H479" s="9" t="s">
        <v>517</v>
      </c>
      <c r="I479" s="9">
        <f>COUNTIF(A1:A210,"RE*")</f>
        <v>0</v>
      </c>
    </row>
    <row r="480" spans="8:9" s="9" customFormat="1" x14ac:dyDescent="0.25">
      <c r="H480" s="9" t="s">
        <v>518</v>
      </c>
      <c r="I480" s="9">
        <f>COUNTIF(A1:A210,"RF*")</f>
        <v>0</v>
      </c>
    </row>
    <row r="481" spans="8:9" s="9" customFormat="1" x14ac:dyDescent="0.25">
      <c r="H481" s="9" t="s">
        <v>519</v>
      </c>
      <c r="I481" s="9">
        <f>COUNTIF(A1:A210,"RG*")</f>
        <v>0</v>
      </c>
    </row>
    <row r="482" spans="8:9" s="9" customFormat="1" x14ac:dyDescent="0.25">
      <c r="H482" s="9" t="s">
        <v>520</v>
      </c>
      <c r="I482" s="9">
        <f>COUNTIF(A1:A210,"RH*")</f>
        <v>0</v>
      </c>
    </row>
    <row r="483" spans="8:9" s="9" customFormat="1" x14ac:dyDescent="0.25">
      <c r="H483" s="9" t="s">
        <v>521</v>
      </c>
      <c r="I483" s="9">
        <f>COUNTIF(A1:A210,"RI*")</f>
        <v>0</v>
      </c>
    </row>
    <row r="484" spans="8:9" s="9" customFormat="1" x14ac:dyDescent="0.25">
      <c r="H484" s="9" t="s">
        <v>522</v>
      </c>
      <c r="I484" s="9">
        <f>COUNTIF(A1:A210,"RJ*")</f>
        <v>0</v>
      </c>
    </row>
    <row r="485" spans="8:9" s="9" customFormat="1" x14ac:dyDescent="0.25">
      <c r="H485" s="9" t="s">
        <v>523</v>
      </c>
      <c r="I485" s="9">
        <f>COUNTIF(A1:A210,"RK*")</f>
        <v>0</v>
      </c>
    </row>
    <row r="486" spans="8:9" s="9" customFormat="1" x14ac:dyDescent="0.25">
      <c r="H486" s="9" t="s">
        <v>524</v>
      </c>
      <c r="I486" s="9">
        <f>COUNTIF(A1:A210,"RL*")</f>
        <v>0</v>
      </c>
    </row>
    <row r="487" spans="8:9" s="9" customFormat="1" x14ac:dyDescent="0.25">
      <c r="H487" s="9" t="s">
        <v>525</v>
      </c>
      <c r="I487" s="9">
        <f>COUNTIF(A1:A210,"RM*")</f>
        <v>0</v>
      </c>
    </row>
    <row r="488" spans="8:9" s="9" customFormat="1" x14ac:dyDescent="0.25">
      <c r="H488" s="9" t="s">
        <v>266</v>
      </c>
      <c r="I488" s="9">
        <f>COUNTIF(A1:A210,"RN*")</f>
        <v>0</v>
      </c>
    </row>
    <row r="489" spans="8:9" s="9" customFormat="1" x14ac:dyDescent="0.25">
      <c r="H489" s="9" t="s">
        <v>526</v>
      </c>
      <c r="I489" s="9">
        <f>COUNTIF(A1:A210,"RO*")</f>
        <v>7</v>
      </c>
    </row>
    <row r="490" spans="8:9" s="9" customFormat="1" x14ac:dyDescent="0.25">
      <c r="H490" s="9" t="s">
        <v>527</v>
      </c>
      <c r="I490" s="9">
        <f>COUNTIF(A1:A210,"RP*")</f>
        <v>0</v>
      </c>
    </row>
    <row r="491" spans="8:9" s="9" customFormat="1" x14ac:dyDescent="0.25">
      <c r="H491" s="9" t="s">
        <v>528</v>
      </c>
      <c r="I491" s="9">
        <f>COUNTIF(A1:A210,"RQ*")</f>
        <v>0</v>
      </c>
    </row>
    <row r="492" spans="8:9" s="9" customFormat="1" x14ac:dyDescent="0.25">
      <c r="H492" s="9" t="s">
        <v>529</v>
      </c>
      <c r="I492" s="9">
        <f>COUNTIF(A1:A210,"RR*")</f>
        <v>0</v>
      </c>
    </row>
    <row r="493" spans="8:9" s="9" customFormat="1" x14ac:dyDescent="0.25">
      <c r="H493" s="9" t="s">
        <v>530</v>
      </c>
      <c r="I493" s="9">
        <f>COUNTIF(A1:A210,"RS*")</f>
        <v>0</v>
      </c>
    </row>
    <row r="494" spans="8:9" s="9" customFormat="1" x14ac:dyDescent="0.25">
      <c r="H494" s="9" t="s">
        <v>531</v>
      </c>
      <c r="I494" s="9">
        <f>COUNTIF(A1:A210,"RT*")</f>
        <v>0</v>
      </c>
    </row>
    <row r="495" spans="8:9" s="9" customFormat="1" x14ac:dyDescent="0.25">
      <c r="H495" s="9" t="s">
        <v>532</v>
      </c>
      <c r="I495" s="9">
        <f>COUNTIF(A1:A210,"RU*")</f>
        <v>0</v>
      </c>
    </row>
    <row r="496" spans="8:9" s="9" customFormat="1" x14ac:dyDescent="0.25">
      <c r="H496" s="9" t="s">
        <v>533</v>
      </c>
      <c r="I496" s="9">
        <f>COUNTIF(A1:A210,"RV*")</f>
        <v>0</v>
      </c>
    </row>
    <row r="497" spans="8:9" s="9" customFormat="1" x14ac:dyDescent="0.25">
      <c r="H497" s="9" t="s">
        <v>534</v>
      </c>
      <c r="I497" s="9">
        <f>COUNTIF(A1:A210,"RW*")</f>
        <v>0</v>
      </c>
    </row>
    <row r="498" spans="8:9" s="9" customFormat="1" x14ac:dyDescent="0.25">
      <c r="H498" s="9" t="s">
        <v>535</v>
      </c>
      <c r="I498" s="9">
        <f>COUNTIF(A1:A210,"RX*")</f>
        <v>0</v>
      </c>
    </row>
    <row r="499" spans="8:9" s="9" customFormat="1" x14ac:dyDescent="0.25">
      <c r="H499" s="9" t="s">
        <v>536</v>
      </c>
      <c r="I499" s="9">
        <f>COUNTIF(A1:A210,"RY*")</f>
        <v>0</v>
      </c>
    </row>
    <row r="500" spans="8:9" s="9" customFormat="1" x14ac:dyDescent="0.25">
      <c r="H500" s="9" t="s">
        <v>537</v>
      </c>
      <c r="I500" s="9">
        <f>COUNTIF(A1:A210,"RZ*")</f>
        <v>0</v>
      </c>
    </row>
    <row r="501" spans="8:9" s="9" customFormat="1" x14ac:dyDescent="0.25"/>
    <row r="502" spans="8:9" s="9" customFormat="1" x14ac:dyDescent="0.25">
      <c r="H502" s="9" t="s">
        <v>538</v>
      </c>
      <c r="I502" s="9">
        <f>COUNTIF(A1:A210,"SA*")</f>
        <v>14</v>
      </c>
    </row>
    <row r="503" spans="8:9" s="9" customFormat="1" x14ac:dyDescent="0.25">
      <c r="H503" s="9" t="s">
        <v>539</v>
      </c>
      <c r="I503" s="9">
        <f>COUNTIF(A1:A210,"SB*")</f>
        <v>0</v>
      </c>
    </row>
    <row r="504" spans="8:9" s="9" customFormat="1" x14ac:dyDescent="0.25">
      <c r="H504" s="9" t="s">
        <v>540</v>
      </c>
      <c r="I504" s="9">
        <f>COUNTIF(A1:A210,"SC*")</f>
        <v>0</v>
      </c>
    </row>
    <row r="505" spans="8:9" s="9" customFormat="1" x14ac:dyDescent="0.25">
      <c r="H505" s="9" t="s">
        <v>541</v>
      </c>
      <c r="I505" s="9">
        <f>COUNTIF(A1:A210,"SD*")</f>
        <v>0</v>
      </c>
    </row>
    <row r="506" spans="8:9" s="9" customFormat="1" x14ac:dyDescent="0.25">
      <c r="H506" s="9" t="s">
        <v>542</v>
      </c>
      <c r="I506" s="9">
        <f>COUNTIF(A1:A210,"SE*")</f>
        <v>0</v>
      </c>
    </row>
    <row r="507" spans="8:9" s="9" customFormat="1" x14ac:dyDescent="0.25">
      <c r="H507" s="9" t="s">
        <v>543</v>
      </c>
      <c r="I507" s="9">
        <f>COUNTIF(A1:A210,"SF*")</f>
        <v>0</v>
      </c>
    </row>
    <row r="508" spans="8:9" s="9" customFormat="1" x14ac:dyDescent="0.25">
      <c r="H508" s="9" t="s">
        <v>544</v>
      </c>
      <c r="I508" s="9">
        <f>COUNTIF(A1:A210,"SG*")</f>
        <v>0</v>
      </c>
    </row>
    <row r="509" spans="8:9" s="9" customFormat="1" x14ac:dyDescent="0.25">
      <c r="H509" s="9" t="s">
        <v>545</v>
      </c>
      <c r="I509" s="9">
        <f>COUNTIF(A1:A210,"SH*")</f>
        <v>0</v>
      </c>
    </row>
    <row r="510" spans="8:9" s="9" customFormat="1" x14ac:dyDescent="0.25">
      <c r="H510" s="9" t="s">
        <v>546</v>
      </c>
      <c r="I510" s="9">
        <f>COUNTIF(A1:A210,"SI*")</f>
        <v>7</v>
      </c>
    </row>
    <row r="511" spans="8:9" s="9" customFormat="1" x14ac:dyDescent="0.25">
      <c r="H511" s="9" t="s">
        <v>547</v>
      </c>
      <c r="I511" s="9">
        <f>COUNTIF(A1:A210,"SJ*")</f>
        <v>0</v>
      </c>
    </row>
    <row r="512" spans="8:9" s="9" customFormat="1" x14ac:dyDescent="0.25">
      <c r="H512" s="9" t="s">
        <v>548</v>
      </c>
      <c r="I512" s="9">
        <f>COUNTIF(A1:A210,"SK*")</f>
        <v>0</v>
      </c>
    </row>
    <row r="513" spans="8:9" s="9" customFormat="1" x14ac:dyDescent="0.25">
      <c r="H513" s="9" t="s">
        <v>549</v>
      </c>
      <c r="I513" s="9">
        <f>COUNTIF(A1:A210,"SL*")</f>
        <v>0</v>
      </c>
    </row>
    <row r="514" spans="8:9" s="9" customFormat="1" x14ac:dyDescent="0.25">
      <c r="H514" s="9" t="s">
        <v>550</v>
      </c>
      <c r="I514" s="9">
        <f>COUNTIF(A1:A210,"SM*")</f>
        <v>0</v>
      </c>
    </row>
    <row r="515" spans="8:9" s="9" customFormat="1" x14ac:dyDescent="0.25">
      <c r="H515" s="9" t="s">
        <v>267</v>
      </c>
      <c r="I515" s="9">
        <f>COUNTIF(A1:A210,"SN*")</f>
        <v>0</v>
      </c>
    </row>
    <row r="516" spans="8:9" s="9" customFormat="1" x14ac:dyDescent="0.25">
      <c r="H516" s="9" t="s">
        <v>551</v>
      </c>
      <c r="I516" s="9">
        <f>COUNTIF(A1:A210,"SO*")</f>
        <v>7</v>
      </c>
    </row>
    <row r="517" spans="8:9" s="9" customFormat="1" x14ac:dyDescent="0.25">
      <c r="H517" s="9" t="s">
        <v>552</v>
      </c>
      <c r="I517" s="9">
        <f>COUNTIF(A1:A210,"SP*")</f>
        <v>0</v>
      </c>
    </row>
    <row r="518" spans="8:9" s="9" customFormat="1" x14ac:dyDescent="0.25">
      <c r="H518" s="9" t="s">
        <v>553</v>
      </c>
      <c r="I518" s="9">
        <f>COUNTIF(A1:A210,"SQ*")</f>
        <v>0</v>
      </c>
    </row>
    <row r="519" spans="8:9" s="9" customFormat="1" x14ac:dyDescent="0.25">
      <c r="H519" s="9" t="s">
        <v>554</v>
      </c>
      <c r="I519" s="9">
        <f>COUNTIF(A1:A210,"SR*")</f>
        <v>0</v>
      </c>
    </row>
    <row r="520" spans="8:9" s="9" customFormat="1" x14ac:dyDescent="0.25">
      <c r="H520" s="9" t="s">
        <v>555</v>
      </c>
      <c r="I520" s="9">
        <f>COUNTIF(A1:A210,"SS*")</f>
        <v>0</v>
      </c>
    </row>
    <row r="521" spans="8:9" s="9" customFormat="1" x14ac:dyDescent="0.25">
      <c r="H521" s="9" t="s">
        <v>556</v>
      </c>
      <c r="I521" s="9">
        <f>COUNTIF(A1:A210,"ST*")</f>
        <v>0</v>
      </c>
    </row>
    <row r="522" spans="8:9" s="9" customFormat="1" x14ac:dyDescent="0.25">
      <c r="H522" s="9" t="s">
        <v>557</v>
      </c>
      <c r="I522" s="9">
        <f>COUNTIF(A1:A210,"SU*")</f>
        <v>0</v>
      </c>
    </row>
    <row r="523" spans="8:9" s="9" customFormat="1" x14ac:dyDescent="0.25">
      <c r="H523" s="9" t="s">
        <v>558</v>
      </c>
      <c r="I523" s="9">
        <f>COUNTIF(A1:A210,"SV*")</f>
        <v>0</v>
      </c>
    </row>
    <row r="524" spans="8:9" s="9" customFormat="1" x14ac:dyDescent="0.25">
      <c r="H524" s="9" t="s">
        <v>559</v>
      </c>
      <c r="I524" s="9">
        <f>COUNTIF(A1:A210,"SW*")</f>
        <v>0</v>
      </c>
    </row>
    <row r="525" spans="8:9" s="9" customFormat="1" x14ac:dyDescent="0.25">
      <c r="H525" s="9" t="s">
        <v>560</v>
      </c>
      <c r="I525" s="9">
        <f>COUNTIF(A1:A210,"SX*")</f>
        <v>0</v>
      </c>
    </row>
    <row r="526" spans="8:9" s="9" customFormat="1" x14ac:dyDescent="0.25">
      <c r="H526" s="9" t="s">
        <v>561</v>
      </c>
      <c r="I526" s="9">
        <f>COUNTIF(A1:A210,"SY*")</f>
        <v>0</v>
      </c>
    </row>
    <row r="527" spans="8:9" s="9" customFormat="1" x14ac:dyDescent="0.25">
      <c r="H527" s="9" t="s">
        <v>562</v>
      </c>
      <c r="I527" s="9">
        <f>COUNTIF(A1:A210,"SZ*")</f>
        <v>0</v>
      </c>
    </row>
    <row r="528" spans="8:9" s="9" customFormat="1" x14ac:dyDescent="0.25"/>
    <row r="529" spans="8:9" s="9" customFormat="1" x14ac:dyDescent="0.25">
      <c r="H529" s="9" t="s">
        <v>563</v>
      </c>
      <c r="I529" s="9">
        <f>COUNTIF(A1:A210,"TA*")</f>
        <v>7</v>
      </c>
    </row>
    <row r="530" spans="8:9" s="9" customFormat="1" x14ac:dyDescent="0.25">
      <c r="H530" s="9" t="s">
        <v>564</v>
      </c>
      <c r="I530" s="9">
        <f>COUNTIF(A1:A210,"TB*")</f>
        <v>0</v>
      </c>
    </row>
    <row r="531" spans="8:9" s="9" customFormat="1" x14ac:dyDescent="0.25">
      <c r="H531" s="9" t="s">
        <v>565</v>
      </c>
      <c r="I531" s="9">
        <f>COUNTIF(A1:A210,"TC*")</f>
        <v>0</v>
      </c>
    </row>
    <row r="532" spans="8:9" s="9" customFormat="1" x14ac:dyDescent="0.25">
      <c r="H532" s="9" t="s">
        <v>566</v>
      </c>
      <c r="I532" s="9">
        <f>COUNTIF(A1:A210,"TD*")</f>
        <v>0</v>
      </c>
    </row>
    <row r="533" spans="8:9" s="9" customFormat="1" x14ac:dyDescent="0.25">
      <c r="H533" s="9" t="s">
        <v>567</v>
      </c>
      <c r="I533" s="9">
        <f>COUNTIF(A1:A210,"TE*")</f>
        <v>0</v>
      </c>
    </row>
    <row r="534" spans="8:9" s="9" customFormat="1" x14ac:dyDescent="0.25">
      <c r="H534" s="9" t="s">
        <v>568</v>
      </c>
      <c r="I534" s="9">
        <f>COUNTIF(A1:A210,"TF*")</f>
        <v>0</v>
      </c>
    </row>
    <row r="535" spans="8:9" s="9" customFormat="1" x14ac:dyDescent="0.25">
      <c r="H535" s="9" t="s">
        <v>569</v>
      </c>
      <c r="I535" s="9">
        <f>COUNTIF(A1:A210,"TG*")</f>
        <v>0</v>
      </c>
    </row>
    <row r="536" spans="8:9" s="9" customFormat="1" x14ac:dyDescent="0.25">
      <c r="H536" s="9" t="s">
        <v>570</v>
      </c>
      <c r="I536" s="9">
        <f>COUNTIF(A1:A210,"TH*")</f>
        <v>7</v>
      </c>
    </row>
    <row r="537" spans="8:9" s="9" customFormat="1" x14ac:dyDescent="0.25">
      <c r="H537" s="9" t="s">
        <v>571</v>
      </c>
      <c r="I537" s="9">
        <f>COUNTIF(A1:A210,"TI*")</f>
        <v>0</v>
      </c>
    </row>
    <row r="538" spans="8:9" s="9" customFormat="1" x14ac:dyDescent="0.25">
      <c r="H538" s="9" t="s">
        <v>572</v>
      </c>
      <c r="I538" s="9">
        <f>COUNTIF(A1:A210,"TJ*")</f>
        <v>0</v>
      </c>
    </row>
    <row r="539" spans="8:9" s="9" customFormat="1" x14ac:dyDescent="0.25">
      <c r="H539" s="9" t="s">
        <v>573</v>
      </c>
      <c r="I539" s="9">
        <f>COUNTIF(A1:A210,"TK*")</f>
        <v>0</v>
      </c>
    </row>
    <row r="540" spans="8:9" s="9" customFormat="1" x14ac:dyDescent="0.25">
      <c r="H540" s="9" t="s">
        <v>574</v>
      </c>
      <c r="I540" s="9">
        <f>COUNTIF(A1:A210,"TL*")</f>
        <v>0</v>
      </c>
    </row>
    <row r="541" spans="8:9" s="9" customFormat="1" x14ac:dyDescent="0.25">
      <c r="H541" s="9" t="s">
        <v>575</v>
      </c>
      <c r="I541" s="9">
        <f>COUNTIF(A1:A210,"TM*")</f>
        <v>0</v>
      </c>
    </row>
    <row r="542" spans="8:9" s="9" customFormat="1" x14ac:dyDescent="0.25">
      <c r="H542" s="9" t="s">
        <v>268</v>
      </c>
      <c r="I542" s="9">
        <f>COUNTIF(A1:A210,"TN*")</f>
        <v>0</v>
      </c>
    </row>
    <row r="543" spans="8:9" s="9" customFormat="1" x14ac:dyDescent="0.25">
      <c r="H543" s="9" t="s">
        <v>576</v>
      </c>
      <c r="I543" s="9">
        <f>COUNTIF(A1:A210,"TO*")</f>
        <v>7</v>
      </c>
    </row>
    <row r="544" spans="8:9" s="9" customFormat="1" x14ac:dyDescent="0.25">
      <c r="H544" s="9" t="s">
        <v>577</v>
      </c>
      <c r="I544" s="9">
        <f>COUNTIF(A1:A210,"TP*")</f>
        <v>0</v>
      </c>
    </row>
    <row r="545" spans="8:9" s="9" customFormat="1" x14ac:dyDescent="0.25">
      <c r="H545" s="9" t="s">
        <v>578</v>
      </c>
      <c r="I545" s="9">
        <f>COUNTIF(A1:A210,"TQ*")</f>
        <v>0</v>
      </c>
    </row>
    <row r="546" spans="8:9" s="9" customFormat="1" x14ac:dyDescent="0.25">
      <c r="H546" s="9" t="s">
        <v>579</v>
      </c>
      <c r="I546" s="9">
        <f>COUNTIF(A1:A210,"TR*")</f>
        <v>0</v>
      </c>
    </row>
    <row r="547" spans="8:9" s="9" customFormat="1" x14ac:dyDescent="0.25">
      <c r="H547" s="9" t="s">
        <v>580</v>
      </c>
      <c r="I547" s="9">
        <f>COUNTIF(A1:A210,"TS*")</f>
        <v>0</v>
      </c>
    </row>
    <row r="548" spans="8:9" s="9" customFormat="1" x14ac:dyDescent="0.25">
      <c r="H548" s="9" t="s">
        <v>581</v>
      </c>
      <c r="I548" s="9">
        <f>COUNTIF(A1:A210,"TT*")</f>
        <v>0</v>
      </c>
    </row>
    <row r="549" spans="8:9" s="9" customFormat="1" x14ac:dyDescent="0.25">
      <c r="H549" s="9" t="s">
        <v>582</v>
      </c>
      <c r="I549" s="9">
        <f>COUNTIF(A1:A210,"TU*")</f>
        <v>0</v>
      </c>
    </row>
    <row r="550" spans="8:9" s="9" customFormat="1" x14ac:dyDescent="0.25">
      <c r="H550" s="9" t="s">
        <v>583</v>
      </c>
      <c r="I550" s="9">
        <f>COUNTIF(A1:A210,"TV*")</f>
        <v>0</v>
      </c>
    </row>
    <row r="551" spans="8:9" s="9" customFormat="1" x14ac:dyDescent="0.25">
      <c r="H551" s="9" t="s">
        <v>584</v>
      </c>
      <c r="I551" s="9">
        <f>COUNTIF(A1:A210,"TW*")</f>
        <v>0</v>
      </c>
    </row>
    <row r="552" spans="8:9" s="9" customFormat="1" x14ac:dyDescent="0.25">
      <c r="H552" s="9" t="s">
        <v>585</v>
      </c>
      <c r="I552" s="9">
        <f>COUNTIF(A1:A210,"TX*")</f>
        <v>0</v>
      </c>
    </row>
    <row r="553" spans="8:9" s="9" customFormat="1" x14ac:dyDescent="0.25">
      <c r="H553" s="9" t="s">
        <v>586</v>
      </c>
      <c r="I553" s="9">
        <f>COUNTIF(A1:A210,"TY*")</f>
        <v>0</v>
      </c>
    </row>
    <row r="554" spans="8:9" s="9" customFormat="1" x14ac:dyDescent="0.25">
      <c r="H554" s="9" t="s">
        <v>587</v>
      </c>
      <c r="I554" s="9">
        <f>COUNTIF(A1:A210,"TZ*")</f>
        <v>0</v>
      </c>
    </row>
    <row r="555" spans="8:9" s="9" customFormat="1" x14ac:dyDescent="0.25"/>
    <row r="556" spans="8:9" s="9" customFormat="1" x14ac:dyDescent="0.25">
      <c r="H556" s="9" t="s">
        <v>588</v>
      </c>
      <c r="I556" s="9">
        <f>COUNTIF(A1:A210,"UA*")</f>
        <v>0</v>
      </c>
    </row>
    <row r="557" spans="8:9" s="9" customFormat="1" x14ac:dyDescent="0.25">
      <c r="H557" s="9" t="s">
        <v>589</v>
      </c>
      <c r="I557" s="9">
        <f>COUNTIF(A1:A210,"UB*")</f>
        <v>0</v>
      </c>
    </row>
    <row r="558" spans="8:9" s="9" customFormat="1" x14ac:dyDescent="0.25">
      <c r="H558" s="9" t="s">
        <v>590</v>
      </c>
      <c r="I558" s="9">
        <f>COUNTIF(A1:A210,"UC*")</f>
        <v>0</v>
      </c>
    </row>
    <row r="559" spans="8:9" s="9" customFormat="1" x14ac:dyDescent="0.25">
      <c r="H559" s="9" t="s">
        <v>591</v>
      </c>
      <c r="I559" s="9">
        <f>COUNTIF(A1:A210,"UD*")</f>
        <v>0</v>
      </c>
    </row>
    <row r="560" spans="8:9" s="9" customFormat="1" x14ac:dyDescent="0.25">
      <c r="H560" s="9" t="s">
        <v>592</v>
      </c>
      <c r="I560" s="9">
        <f>COUNTIF(A1:A210,"UE*")</f>
        <v>0</v>
      </c>
    </row>
    <row r="561" spans="8:9" s="9" customFormat="1" x14ac:dyDescent="0.25">
      <c r="H561" s="9" t="s">
        <v>593</v>
      </c>
      <c r="I561" s="9">
        <f>COUNTIF(A1:A210,"UF*")</f>
        <v>0</v>
      </c>
    </row>
    <row r="562" spans="8:9" s="9" customFormat="1" x14ac:dyDescent="0.25">
      <c r="H562" s="9" t="s">
        <v>594</v>
      </c>
      <c r="I562" s="9">
        <f>COUNTIF(A1:A210,"UG*")</f>
        <v>0</v>
      </c>
    </row>
    <row r="563" spans="8:9" s="9" customFormat="1" x14ac:dyDescent="0.25">
      <c r="H563" s="9" t="s">
        <v>595</v>
      </c>
      <c r="I563" s="9">
        <f>COUNTIF(A1:A210,"UH*")</f>
        <v>0</v>
      </c>
    </row>
    <row r="564" spans="8:9" s="9" customFormat="1" x14ac:dyDescent="0.25">
      <c r="H564" s="9" t="s">
        <v>596</v>
      </c>
      <c r="I564" s="9">
        <f>COUNTIF(A1:A210,"UI*")</f>
        <v>0</v>
      </c>
    </row>
    <row r="565" spans="8:9" s="9" customFormat="1" x14ac:dyDescent="0.25">
      <c r="H565" s="9" t="s">
        <v>597</v>
      </c>
      <c r="I565" s="9">
        <f>COUNTIF(A1:A210,"UJ*")</f>
        <v>0</v>
      </c>
    </row>
    <row r="566" spans="8:9" s="9" customFormat="1" x14ac:dyDescent="0.25">
      <c r="H566" s="9" t="s">
        <v>598</v>
      </c>
      <c r="I566" s="9">
        <f>COUNTIF(A1:A210,"UK*")</f>
        <v>0</v>
      </c>
    </row>
    <row r="567" spans="8:9" s="9" customFormat="1" x14ac:dyDescent="0.25">
      <c r="H567" s="9" t="s">
        <v>599</v>
      </c>
      <c r="I567" s="9">
        <f>COUNTIF(A1:A210,"UL*")</f>
        <v>0</v>
      </c>
    </row>
    <row r="568" spans="8:9" s="9" customFormat="1" x14ac:dyDescent="0.25">
      <c r="H568" s="9" t="s">
        <v>600</v>
      </c>
      <c r="I568" s="9">
        <f>COUNTIF(A1:A210,"UM*")</f>
        <v>0</v>
      </c>
    </row>
    <row r="569" spans="8:9" s="9" customFormat="1" x14ac:dyDescent="0.25">
      <c r="H569" s="9" t="s">
        <v>269</v>
      </c>
      <c r="I569" s="9">
        <f>COUNTIF(A1:A210,"UN*")</f>
        <v>0</v>
      </c>
    </row>
    <row r="570" spans="8:9" s="9" customFormat="1" x14ac:dyDescent="0.25">
      <c r="H570" s="9" t="s">
        <v>601</v>
      </c>
      <c r="I570" s="9">
        <f>COUNTIF(A1:A210,"UO*")</f>
        <v>0</v>
      </c>
    </row>
    <row r="571" spans="8:9" s="9" customFormat="1" x14ac:dyDescent="0.25">
      <c r="H571" s="9" t="s">
        <v>602</v>
      </c>
      <c r="I571" s="9">
        <f>COUNTIF(A1:A210,"UP*")</f>
        <v>0</v>
      </c>
    </row>
    <row r="572" spans="8:9" s="9" customFormat="1" x14ac:dyDescent="0.25">
      <c r="H572" s="9" t="s">
        <v>603</v>
      </c>
      <c r="I572" s="9">
        <f>COUNTIF(A1:A210,"UQ*")</f>
        <v>0</v>
      </c>
    </row>
    <row r="573" spans="8:9" s="9" customFormat="1" x14ac:dyDescent="0.25">
      <c r="H573" s="9" t="s">
        <v>604</v>
      </c>
      <c r="I573" s="9">
        <f>COUNTIF(A1:A210,"UR*")</f>
        <v>0</v>
      </c>
    </row>
    <row r="574" spans="8:9" s="9" customFormat="1" x14ac:dyDescent="0.25">
      <c r="H574" s="9" t="s">
        <v>605</v>
      </c>
      <c r="I574" s="9">
        <f>COUNTIF(A1:A210,"US*")</f>
        <v>0</v>
      </c>
    </row>
    <row r="575" spans="8:9" s="9" customFormat="1" x14ac:dyDescent="0.25">
      <c r="H575" s="9" t="s">
        <v>606</v>
      </c>
      <c r="I575" s="9">
        <f>COUNTIF(A1:A210,"UT*")</f>
        <v>0</v>
      </c>
    </row>
    <row r="576" spans="8:9" s="9" customFormat="1" x14ac:dyDescent="0.25">
      <c r="H576" s="9" t="s">
        <v>607</v>
      </c>
      <c r="I576" s="9">
        <f>COUNTIF(A1:A210,"UU*")</f>
        <v>0</v>
      </c>
    </row>
    <row r="577" spans="8:9" s="9" customFormat="1" x14ac:dyDescent="0.25">
      <c r="H577" s="9" t="s">
        <v>608</v>
      </c>
      <c r="I577" s="9">
        <f>COUNTIF(A1:A210,"UV*")</f>
        <v>0</v>
      </c>
    </row>
    <row r="578" spans="8:9" s="9" customFormat="1" x14ac:dyDescent="0.25">
      <c r="H578" s="9" t="s">
        <v>609</v>
      </c>
      <c r="I578" s="9">
        <f>COUNTIF(A1:A210,"UW*")</f>
        <v>0</v>
      </c>
    </row>
    <row r="579" spans="8:9" s="9" customFormat="1" x14ac:dyDescent="0.25">
      <c r="H579" s="9" t="s">
        <v>610</v>
      </c>
      <c r="I579" s="9">
        <f>COUNTIF(A1:A210,"UX*")</f>
        <v>0</v>
      </c>
    </row>
    <row r="580" spans="8:9" s="9" customFormat="1" x14ac:dyDescent="0.25">
      <c r="H580" s="9" t="s">
        <v>611</v>
      </c>
      <c r="I580" s="9">
        <f>COUNTIF(A1:A210,"UY*")</f>
        <v>0</v>
      </c>
    </row>
    <row r="581" spans="8:9" s="9" customFormat="1" x14ac:dyDescent="0.25">
      <c r="H581" s="9" t="s">
        <v>612</v>
      </c>
      <c r="I581" s="9">
        <f>COUNTIF(A1:A210,"UZ*")</f>
        <v>0</v>
      </c>
    </row>
    <row r="582" spans="8:9" s="9" customFormat="1" x14ac:dyDescent="0.25"/>
    <row r="583" spans="8:9" s="9" customFormat="1" x14ac:dyDescent="0.25">
      <c r="H583" s="9" t="s">
        <v>613</v>
      </c>
      <c r="I583" s="9">
        <f>COUNTIF(A1:A210,"VA*")</f>
        <v>0</v>
      </c>
    </row>
    <row r="584" spans="8:9" s="9" customFormat="1" x14ac:dyDescent="0.25">
      <c r="H584" s="9" t="s">
        <v>614</v>
      </c>
      <c r="I584" s="9">
        <f>COUNTIF(A1:A210,"VB*")</f>
        <v>0</v>
      </c>
    </row>
    <row r="585" spans="8:9" s="9" customFormat="1" x14ac:dyDescent="0.25">
      <c r="H585" s="9" t="s">
        <v>615</v>
      </c>
      <c r="I585" s="9">
        <f>COUNTIF(A1:A210,"VC*")</f>
        <v>0</v>
      </c>
    </row>
    <row r="586" spans="8:9" s="9" customFormat="1" x14ac:dyDescent="0.25">
      <c r="H586" s="9" t="s">
        <v>616</v>
      </c>
      <c r="I586" s="9">
        <f>COUNTIF(A1:A210,"VD*")</f>
        <v>0</v>
      </c>
    </row>
    <row r="587" spans="8:9" s="9" customFormat="1" x14ac:dyDescent="0.25">
      <c r="H587" s="9" t="s">
        <v>617</v>
      </c>
      <c r="I587" s="9">
        <f>COUNTIF(A1:A210,"VE*")</f>
        <v>0</v>
      </c>
    </row>
    <row r="588" spans="8:9" s="9" customFormat="1" x14ac:dyDescent="0.25">
      <c r="H588" s="9" t="s">
        <v>618</v>
      </c>
      <c r="I588" s="9">
        <f>COUNTIF(A1:A210,"VF*")</f>
        <v>0</v>
      </c>
    </row>
    <row r="589" spans="8:9" s="9" customFormat="1" x14ac:dyDescent="0.25">
      <c r="H589" s="9" t="s">
        <v>619</v>
      </c>
      <c r="I589" s="9">
        <f>COUNTIF(A1:A210,"VG*")</f>
        <v>0</v>
      </c>
    </row>
    <row r="590" spans="8:9" s="9" customFormat="1" x14ac:dyDescent="0.25">
      <c r="H590" s="9" t="s">
        <v>620</v>
      </c>
      <c r="I590" s="9">
        <f>COUNTIF(A1:A210,"VH*")</f>
        <v>0</v>
      </c>
    </row>
    <row r="591" spans="8:9" s="9" customFormat="1" x14ac:dyDescent="0.25">
      <c r="H591" s="9" t="s">
        <v>621</v>
      </c>
      <c r="I591" s="9">
        <f>COUNTIF(A1:A210,"VI*")</f>
        <v>0</v>
      </c>
    </row>
    <row r="592" spans="8:9" s="9" customFormat="1" x14ac:dyDescent="0.25">
      <c r="H592" s="9" t="s">
        <v>622</v>
      </c>
      <c r="I592" s="9">
        <f>COUNTIF(A1:A210,"VJ*")</f>
        <v>0</v>
      </c>
    </row>
    <row r="593" spans="8:9" s="9" customFormat="1" x14ac:dyDescent="0.25">
      <c r="H593" s="9" t="s">
        <v>623</v>
      </c>
      <c r="I593" s="9">
        <f>COUNTIF(A1:A210,"VK*")</f>
        <v>0</v>
      </c>
    </row>
    <row r="594" spans="8:9" s="9" customFormat="1" x14ac:dyDescent="0.25">
      <c r="H594" s="9" t="s">
        <v>624</v>
      </c>
      <c r="I594" s="9">
        <f>COUNTIF(A1:A210,"VL*")</f>
        <v>0</v>
      </c>
    </row>
    <row r="595" spans="8:9" s="9" customFormat="1" x14ac:dyDescent="0.25">
      <c r="H595" s="9" t="s">
        <v>625</v>
      </c>
      <c r="I595" s="9">
        <f>COUNTIF(A1:A210,"VM*")</f>
        <v>0</v>
      </c>
    </row>
    <row r="596" spans="8:9" s="9" customFormat="1" x14ac:dyDescent="0.25">
      <c r="H596" s="9" t="s">
        <v>270</v>
      </c>
      <c r="I596" s="9">
        <f>COUNTIF(A1:A210,"VN*")</f>
        <v>0</v>
      </c>
    </row>
    <row r="597" spans="8:9" s="9" customFormat="1" x14ac:dyDescent="0.25">
      <c r="H597" s="9" t="s">
        <v>626</v>
      </c>
      <c r="I597" s="9">
        <f>COUNTIF(A1:A210,"VO*")</f>
        <v>0</v>
      </c>
    </row>
    <row r="598" spans="8:9" s="9" customFormat="1" x14ac:dyDescent="0.25">
      <c r="H598" s="9" t="s">
        <v>627</v>
      </c>
      <c r="I598" s="9">
        <f>COUNTIF(A1:A210,"VP*")</f>
        <v>0</v>
      </c>
    </row>
    <row r="599" spans="8:9" s="9" customFormat="1" x14ac:dyDescent="0.25">
      <c r="H599" s="9" t="s">
        <v>628</v>
      </c>
      <c r="I599" s="9">
        <f>COUNTIF(A1:A210,"VQ*")</f>
        <v>0</v>
      </c>
    </row>
    <row r="600" spans="8:9" s="9" customFormat="1" x14ac:dyDescent="0.25">
      <c r="H600" s="9" t="s">
        <v>629</v>
      </c>
      <c r="I600" s="9">
        <f>COUNTIF(A1:A210,"VR*")</f>
        <v>0</v>
      </c>
    </row>
    <row r="601" spans="8:9" s="9" customFormat="1" x14ac:dyDescent="0.25">
      <c r="H601" s="9" t="s">
        <v>630</v>
      </c>
      <c r="I601" s="9">
        <f>COUNTIF(A1:A210,"VS*")</f>
        <v>0</v>
      </c>
    </row>
    <row r="602" spans="8:9" s="9" customFormat="1" x14ac:dyDescent="0.25">
      <c r="H602" s="9" t="s">
        <v>631</v>
      </c>
      <c r="I602" s="9">
        <f>COUNTIF(A1:A210,"VT*")</f>
        <v>0</v>
      </c>
    </row>
    <row r="603" spans="8:9" s="9" customFormat="1" x14ac:dyDescent="0.25">
      <c r="H603" s="9" t="s">
        <v>632</v>
      </c>
      <c r="I603" s="9">
        <f>COUNTIF(A1:A210,"VU*")</f>
        <v>0</v>
      </c>
    </row>
    <row r="604" spans="8:9" s="9" customFormat="1" x14ac:dyDescent="0.25">
      <c r="H604" s="9" t="s">
        <v>633</v>
      </c>
      <c r="I604" s="9">
        <f>COUNTIF(A1:A210,"VV*")</f>
        <v>0</v>
      </c>
    </row>
    <row r="605" spans="8:9" s="9" customFormat="1" x14ac:dyDescent="0.25">
      <c r="H605" s="9" t="s">
        <v>634</v>
      </c>
      <c r="I605" s="9">
        <f>COUNTIF(A1:A210,"VW*")</f>
        <v>0</v>
      </c>
    </row>
    <row r="606" spans="8:9" s="9" customFormat="1" x14ac:dyDescent="0.25">
      <c r="H606" s="9" t="s">
        <v>635</v>
      </c>
      <c r="I606" s="9">
        <f>COUNTIF(A1:A210,"VX*")</f>
        <v>0</v>
      </c>
    </row>
    <row r="607" spans="8:9" s="9" customFormat="1" x14ac:dyDescent="0.25">
      <c r="H607" s="9" t="s">
        <v>636</v>
      </c>
      <c r="I607" s="9">
        <f>COUNTIF(A1:A210,"VY*")</f>
        <v>0</v>
      </c>
    </row>
    <row r="608" spans="8:9" s="9" customFormat="1" x14ac:dyDescent="0.25">
      <c r="H608" s="9" t="s">
        <v>637</v>
      </c>
      <c r="I608" s="9">
        <f>COUNTIF(A1:A210,"VZ*")</f>
        <v>0</v>
      </c>
    </row>
    <row r="609" spans="8:9" s="9" customFormat="1" x14ac:dyDescent="0.25"/>
    <row r="610" spans="8:9" s="9" customFormat="1" x14ac:dyDescent="0.25">
      <c r="H610" s="9" t="s">
        <v>638</v>
      </c>
      <c r="I610" s="9">
        <f>COUNTIF(A1:A210,"WA*")</f>
        <v>0</v>
      </c>
    </row>
    <row r="611" spans="8:9" s="9" customFormat="1" x14ac:dyDescent="0.25">
      <c r="H611" s="9" t="s">
        <v>639</v>
      </c>
      <c r="I611" s="9">
        <f>COUNTIF(A1:A210,"WB*")</f>
        <v>0</v>
      </c>
    </row>
    <row r="612" spans="8:9" s="9" customFormat="1" x14ac:dyDescent="0.25">
      <c r="H612" s="9" t="s">
        <v>640</v>
      </c>
      <c r="I612" s="9">
        <f>COUNTIF(A1:A210,"WC*")</f>
        <v>0</v>
      </c>
    </row>
    <row r="613" spans="8:9" s="9" customFormat="1" x14ac:dyDescent="0.25">
      <c r="H613" s="9" t="s">
        <v>641</v>
      </c>
      <c r="I613" s="9">
        <f>COUNTIF(A1:A210,"WD*")</f>
        <v>0</v>
      </c>
    </row>
    <row r="614" spans="8:9" s="9" customFormat="1" x14ac:dyDescent="0.25">
      <c r="H614" s="9" t="s">
        <v>642</v>
      </c>
      <c r="I614" s="9">
        <f>COUNTIF(A1:A210,"WE*")</f>
        <v>0</v>
      </c>
    </row>
    <row r="615" spans="8:9" s="9" customFormat="1" x14ac:dyDescent="0.25">
      <c r="H615" s="9" t="s">
        <v>643</v>
      </c>
      <c r="I615" s="9">
        <f>COUNTIF(A1:A210,"WF*")</f>
        <v>0</v>
      </c>
    </row>
    <row r="616" spans="8:9" s="9" customFormat="1" x14ac:dyDescent="0.25">
      <c r="H616" s="9" t="s">
        <v>644</v>
      </c>
      <c r="I616" s="9">
        <f>COUNTIF(A1:A210,"WG*")</f>
        <v>0</v>
      </c>
    </row>
    <row r="617" spans="8:9" s="9" customFormat="1" x14ac:dyDescent="0.25">
      <c r="H617" s="9" t="s">
        <v>645</v>
      </c>
      <c r="I617" s="9">
        <f>COUNTIF(A1:A210,"WH*")</f>
        <v>0</v>
      </c>
    </row>
    <row r="618" spans="8:9" s="9" customFormat="1" x14ac:dyDescent="0.25">
      <c r="H618" s="9" t="s">
        <v>646</v>
      </c>
      <c r="I618" s="9">
        <f>COUNTIF(A1:A210,"WI*")</f>
        <v>0</v>
      </c>
    </row>
    <row r="619" spans="8:9" s="9" customFormat="1" x14ac:dyDescent="0.25">
      <c r="H619" s="9" t="s">
        <v>647</v>
      </c>
      <c r="I619" s="9">
        <f>COUNTIF(A1:A210,"WJ*")</f>
        <v>0</v>
      </c>
    </row>
    <row r="620" spans="8:9" s="9" customFormat="1" x14ac:dyDescent="0.25">
      <c r="H620" s="9" t="s">
        <v>648</v>
      </c>
      <c r="I620" s="9">
        <f>COUNTIF(A1:A210,"WK*")</f>
        <v>0</v>
      </c>
    </row>
    <row r="621" spans="8:9" s="9" customFormat="1" x14ac:dyDescent="0.25">
      <c r="H621" s="9" t="s">
        <v>649</v>
      </c>
      <c r="I621" s="9">
        <f>COUNTIF(A1:A210,"WL*")</f>
        <v>0</v>
      </c>
    </row>
    <row r="622" spans="8:9" s="9" customFormat="1" x14ac:dyDescent="0.25">
      <c r="H622" s="9" t="s">
        <v>650</v>
      </c>
      <c r="I622" s="9">
        <f>COUNTIF(A1:A210,"WM*")</f>
        <v>0</v>
      </c>
    </row>
    <row r="623" spans="8:9" s="9" customFormat="1" x14ac:dyDescent="0.25">
      <c r="H623" s="9" t="s">
        <v>271</v>
      </c>
      <c r="I623" s="9">
        <f>COUNTIF(A1:A210,"WN*")</f>
        <v>0</v>
      </c>
    </row>
    <row r="624" spans="8:9" s="9" customFormat="1" x14ac:dyDescent="0.25">
      <c r="H624" s="9" t="s">
        <v>651</v>
      </c>
      <c r="I624" s="9">
        <f>COUNTIF(A1:A210,"WO*")</f>
        <v>0</v>
      </c>
    </row>
    <row r="625" spans="8:9" s="9" customFormat="1" x14ac:dyDescent="0.25">
      <c r="H625" s="9" t="s">
        <v>652</v>
      </c>
      <c r="I625" s="9">
        <f>COUNTIF(A1:A210,"WP*")</f>
        <v>0</v>
      </c>
    </row>
    <row r="626" spans="8:9" s="9" customFormat="1" x14ac:dyDescent="0.25">
      <c r="H626" s="9" t="s">
        <v>653</v>
      </c>
      <c r="I626" s="9">
        <f>COUNTIF(A1:A210,"WQ*")</f>
        <v>0</v>
      </c>
    </row>
    <row r="627" spans="8:9" s="9" customFormat="1" x14ac:dyDescent="0.25">
      <c r="H627" s="9" t="s">
        <v>654</v>
      </c>
      <c r="I627" s="9">
        <f>COUNTIF(A1:A210,"WR*")</f>
        <v>0</v>
      </c>
    </row>
    <row r="628" spans="8:9" s="9" customFormat="1" x14ac:dyDescent="0.25">
      <c r="H628" s="9" t="s">
        <v>655</v>
      </c>
      <c r="I628" s="9">
        <f>COUNTIF(A1:A210,"WS*")</f>
        <v>0</v>
      </c>
    </row>
    <row r="629" spans="8:9" s="9" customFormat="1" x14ac:dyDescent="0.25">
      <c r="H629" s="9" t="s">
        <v>656</v>
      </c>
      <c r="I629" s="9">
        <f>COUNTIF(A1:A210,"WT*")</f>
        <v>0</v>
      </c>
    </row>
    <row r="630" spans="8:9" s="9" customFormat="1" x14ac:dyDescent="0.25">
      <c r="H630" s="9" t="s">
        <v>657</v>
      </c>
      <c r="I630" s="9">
        <f>COUNTIF(A1:A210,"WU*")</f>
        <v>0</v>
      </c>
    </row>
    <row r="631" spans="8:9" s="9" customFormat="1" x14ac:dyDescent="0.25">
      <c r="H631" s="9" t="s">
        <v>658</v>
      </c>
      <c r="I631" s="9">
        <f>COUNTIF(A1:A210,"WV*")</f>
        <v>0</v>
      </c>
    </row>
    <row r="632" spans="8:9" s="9" customFormat="1" x14ac:dyDescent="0.25">
      <c r="H632" s="9" t="s">
        <v>659</v>
      </c>
      <c r="I632" s="9">
        <f>COUNTIF(A1:A210,"WW*")</f>
        <v>0</v>
      </c>
    </row>
    <row r="633" spans="8:9" s="9" customFormat="1" x14ac:dyDescent="0.25">
      <c r="H633" s="9" t="s">
        <v>660</v>
      </c>
      <c r="I633" s="9">
        <f>COUNTIF(A1:A210,"WX*")</f>
        <v>0</v>
      </c>
    </row>
    <row r="634" spans="8:9" s="9" customFormat="1" x14ac:dyDescent="0.25">
      <c r="H634" s="9" t="s">
        <v>661</v>
      </c>
      <c r="I634" s="9">
        <f>COUNTIF(A1:A210,"WY*")</f>
        <v>0</v>
      </c>
    </row>
    <row r="635" spans="8:9" s="9" customFormat="1" x14ac:dyDescent="0.25">
      <c r="H635" s="9" t="s">
        <v>662</v>
      </c>
      <c r="I635" s="9">
        <f>COUNTIF(A1:A210,"WZ*")</f>
        <v>0</v>
      </c>
    </row>
    <row r="636" spans="8:9" s="9" customFormat="1" x14ac:dyDescent="0.25"/>
    <row r="637" spans="8:9" s="9" customFormat="1" x14ac:dyDescent="0.25">
      <c r="H637" s="9" t="s">
        <v>663</v>
      </c>
      <c r="I637" s="9">
        <f>COUNTIF(A1:A210,"XA*")</f>
        <v>0</v>
      </c>
    </row>
    <row r="638" spans="8:9" s="9" customFormat="1" x14ac:dyDescent="0.25">
      <c r="H638" s="9" t="s">
        <v>664</v>
      </c>
      <c r="I638" s="9">
        <f>COUNTIF(A1:A210,"XB*")</f>
        <v>0</v>
      </c>
    </row>
    <row r="639" spans="8:9" s="9" customFormat="1" x14ac:dyDescent="0.25">
      <c r="H639" s="9" t="s">
        <v>665</v>
      </c>
      <c r="I639" s="9">
        <f>COUNTIF(A1:A210,"XC*")</f>
        <v>0</v>
      </c>
    </row>
    <row r="640" spans="8:9" s="9" customFormat="1" x14ac:dyDescent="0.25">
      <c r="H640" s="9" t="s">
        <v>666</v>
      </c>
      <c r="I640" s="9">
        <f>COUNTIF(A1:A210,"XD*")</f>
        <v>0</v>
      </c>
    </row>
    <row r="641" spans="8:9" s="9" customFormat="1" x14ac:dyDescent="0.25">
      <c r="H641" s="9" t="s">
        <v>667</v>
      </c>
      <c r="I641" s="9">
        <f>COUNTIF(A1:A210,"XE*")</f>
        <v>0</v>
      </c>
    </row>
    <row r="642" spans="8:9" s="9" customFormat="1" x14ac:dyDescent="0.25">
      <c r="H642" s="9" t="s">
        <v>668</v>
      </c>
      <c r="I642" s="9">
        <f>COUNTIF(A1:A210,"XF*")</f>
        <v>0</v>
      </c>
    </row>
    <row r="643" spans="8:9" s="9" customFormat="1" x14ac:dyDescent="0.25">
      <c r="H643" s="9" t="s">
        <v>669</v>
      </c>
      <c r="I643" s="9">
        <f>COUNTIF(A1:A210,"XG*")</f>
        <v>0</v>
      </c>
    </row>
    <row r="644" spans="8:9" s="9" customFormat="1" x14ac:dyDescent="0.25">
      <c r="H644" s="9" t="s">
        <v>670</v>
      </c>
      <c r="I644" s="9">
        <f>COUNTIF(A1:A210,"XH*")</f>
        <v>0</v>
      </c>
    </row>
    <row r="645" spans="8:9" s="9" customFormat="1" x14ac:dyDescent="0.25">
      <c r="H645" s="9" t="s">
        <v>671</v>
      </c>
      <c r="I645" s="9">
        <f>COUNTIF(A1:A210,"XI*")</f>
        <v>0</v>
      </c>
    </row>
    <row r="646" spans="8:9" s="9" customFormat="1" x14ac:dyDescent="0.25">
      <c r="H646" s="9" t="s">
        <v>672</v>
      </c>
      <c r="I646" s="9">
        <f>COUNTIF(A1:A210,"XJ*")</f>
        <v>0</v>
      </c>
    </row>
    <row r="647" spans="8:9" s="9" customFormat="1" x14ac:dyDescent="0.25">
      <c r="H647" s="9" t="s">
        <v>673</v>
      </c>
      <c r="I647" s="9">
        <f>COUNTIF(A1:A210,"XK*")</f>
        <v>0</v>
      </c>
    </row>
    <row r="648" spans="8:9" s="9" customFormat="1" x14ac:dyDescent="0.25">
      <c r="H648" s="9" t="s">
        <v>674</v>
      </c>
      <c r="I648" s="9">
        <f>COUNTIF(A1:A210,"XL*")</f>
        <v>0</v>
      </c>
    </row>
    <row r="649" spans="8:9" s="9" customFormat="1" x14ac:dyDescent="0.25">
      <c r="H649" s="9" t="s">
        <v>675</v>
      </c>
      <c r="I649" s="9">
        <f>COUNTIF(A1:A210,"XM*")</f>
        <v>0</v>
      </c>
    </row>
    <row r="650" spans="8:9" s="9" customFormat="1" x14ac:dyDescent="0.25">
      <c r="H650" s="9" t="s">
        <v>272</v>
      </c>
      <c r="I650" s="9">
        <f>COUNTIF(A1:A210,"XN*")</f>
        <v>0</v>
      </c>
    </row>
    <row r="651" spans="8:9" s="9" customFormat="1" x14ac:dyDescent="0.25">
      <c r="H651" s="9" t="s">
        <v>676</v>
      </c>
      <c r="I651" s="9">
        <f>COUNTIF(A1:A210,"XO*")</f>
        <v>0</v>
      </c>
    </row>
    <row r="652" spans="8:9" s="9" customFormat="1" x14ac:dyDescent="0.25">
      <c r="H652" s="9" t="s">
        <v>677</v>
      </c>
      <c r="I652" s="9">
        <f>COUNTIF(A1:A210,"XP*")</f>
        <v>0</v>
      </c>
    </row>
    <row r="653" spans="8:9" s="9" customFormat="1" x14ac:dyDescent="0.25">
      <c r="H653" s="9" t="s">
        <v>678</v>
      </c>
      <c r="I653" s="9">
        <f>COUNTIF(A1:A210,"XQ*")</f>
        <v>0</v>
      </c>
    </row>
    <row r="654" spans="8:9" s="9" customFormat="1" x14ac:dyDescent="0.25">
      <c r="H654" s="9" t="s">
        <v>679</v>
      </c>
      <c r="I654" s="9">
        <f>COUNTIF(A1:A210,"XR*")</f>
        <v>0</v>
      </c>
    </row>
    <row r="655" spans="8:9" s="9" customFormat="1" x14ac:dyDescent="0.25">
      <c r="H655" s="9" t="s">
        <v>680</v>
      </c>
      <c r="I655" s="9">
        <f>COUNTIF(A1:A210,"XS*")</f>
        <v>0</v>
      </c>
    </row>
    <row r="656" spans="8:9" s="9" customFormat="1" x14ac:dyDescent="0.25">
      <c r="H656" s="9" t="s">
        <v>681</v>
      </c>
      <c r="I656" s="9">
        <f>COUNTIF(A1:A210,"XT*")</f>
        <v>0</v>
      </c>
    </row>
    <row r="657" spans="8:9" s="9" customFormat="1" x14ac:dyDescent="0.25">
      <c r="H657" s="9" t="s">
        <v>682</v>
      </c>
      <c r="I657" s="9">
        <f>COUNTIF(A1:A210,"XU*")</f>
        <v>0</v>
      </c>
    </row>
    <row r="658" spans="8:9" s="9" customFormat="1" x14ac:dyDescent="0.25">
      <c r="H658" s="9" t="s">
        <v>683</v>
      </c>
      <c r="I658" s="9">
        <f>COUNTIF(A1:A210,"XV*")</f>
        <v>0</v>
      </c>
    </row>
    <row r="659" spans="8:9" s="9" customFormat="1" x14ac:dyDescent="0.25">
      <c r="H659" s="9" t="s">
        <v>684</v>
      </c>
      <c r="I659" s="9">
        <f>COUNTIF(A1:A210,"XW*")</f>
        <v>0</v>
      </c>
    </row>
    <row r="660" spans="8:9" s="9" customFormat="1" x14ac:dyDescent="0.25">
      <c r="H660" s="9" t="s">
        <v>685</v>
      </c>
      <c r="I660" s="9">
        <f>COUNTIF(A1:A210,"XX*")</f>
        <v>0</v>
      </c>
    </row>
    <row r="661" spans="8:9" s="9" customFormat="1" x14ac:dyDescent="0.25">
      <c r="H661" s="9" t="s">
        <v>686</v>
      </c>
      <c r="I661" s="9">
        <f>COUNTIF(A1:A210,"XY*")</f>
        <v>0</v>
      </c>
    </row>
    <row r="662" spans="8:9" s="9" customFormat="1" x14ac:dyDescent="0.25">
      <c r="H662" s="9" t="s">
        <v>687</v>
      </c>
      <c r="I662" s="9">
        <f>COUNTIF(A1:A210,"XZ*")</f>
        <v>0</v>
      </c>
    </row>
    <row r="663" spans="8:9" s="9" customFormat="1" x14ac:dyDescent="0.25"/>
    <row r="664" spans="8:9" s="9" customFormat="1" x14ac:dyDescent="0.25">
      <c r="H664" s="9" t="s">
        <v>688</v>
      </c>
      <c r="I664" s="9">
        <f>COUNTIF(A1:A210,"YA*")</f>
        <v>0</v>
      </c>
    </row>
    <row r="665" spans="8:9" s="9" customFormat="1" x14ac:dyDescent="0.25">
      <c r="H665" s="9" t="s">
        <v>689</v>
      </c>
      <c r="I665" s="9">
        <f>COUNTIF(A1:A210,"YB*")</f>
        <v>0</v>
      </c>
    </row>
    <row r="666" spans="8:9" s="9" customFormat="1" x14ac:dyDescent="0.25">
      <c r="H666" s="9" t="s">
        <v>690</v>
      </c>
      <c r="I666" s="9">
        <f>COUNTIF(A1:A210,"YC*")</f>
        <v>0</v>
      </c>
    </row>
    <row r="667" spans="8:9" s="9" customFormat="1" x14ac:dyDescent="0.25">
      <c r="H667" s="9" t="s">
        <v>691</v>
      </c>
      <c r="I667" s="9">
        <f>COUNTIF(A1:A210,"YD*")</f>
        <v>0</v>
      </c>
    </row>
    <row r="668" spans="8:9" s="9" customFormat="1" x14ac:dyDescent="0.25">
      <c r="H668" s="9" t="s">
        <v>692</v>
      </c>
      <c r="I668" s="9">
        <f>COUNTIF(A1:A210,"YE*")</f>
        <v>0</v>
      </c>
    </row>
    <row r="669" spans="8:9" s="9" customFormat="1" x14ac:dyDescent="0.25">
      <c r="H669" s="9" t="s">
        <v>693</v>
      </c>
      <c r="I669" s="9">
        <f>COUNTIF(A1:A210,"YF*")</f>
        <v>0</v>
      </c>
    </row>
    <row r="670" spans="8:9" s="9" customFormat="1" x14ac:dyDescent="0.25">
      <c r="H670" s="9" t="s">
        <v>694</v>
      </c>
      <c r="I670" s="9">
        <f>COUNTIF(A1:A210,"YG*")</f>
        <v>0</v>
      </c>
    </row>
    <row r="671" spans="8:9" s="9" customFormat="1" x14ac:dyDescent="0.25">
      <c r="H671" s="9" t="s">
        <v>695</v>
      </c>
      <c r="I671" s="9">
        <f>COUNTIF(A1:A210,"YH*")</f>
        <v>0</v>
      </c>
    </row>
    <row r="672" spans="8:9" s="9" customFormat="1" x14ac:dyDescent="0.25">
      <c r="H672" s="9" t="s">
        <v>696</v>
      </c>
      <c r="I672" s="9">
        <f>COUNTIF(A1:A210,"YI*")</f>
        <v>0</v>
      </c>
    </row>
    <row r="673" spans="8:9" s="9" customFormat="1" x14ac:dyDescent="0.25">
      <c r="H673" s="9" t="s">
        <v>697</v>
      </c>
      <c r="I673" s="9">
        <f>COUNTIF(A1:A210,"YJ*")</f>
        <v>0</v>
      </c>
    </row>
    <row r="674" spans="8:9" s="9" customFormat="1" x14ac:dyDescent="0.25">
      <c r="H674" s="9" t="s">
        <v>698</v>
      </c>
      <c r="I674" s="9">
        <f>COUNTIF(A1:A210,"YK*")</f>
        <v>0</v>
      </c>
    </row>
    <row r="675" spans="8:9" s="9" customFormat="1" x14ac:dyDescent="0.25">
      <c r="H675" s="9" t="s">
        <v>699</v>
      </c>
      <c r="I675" s="9">
        <f>COUNTIF(A1:A210,"YL*")</f>
        <v>0</v>
      </c>
    </row>
    <row r="676" spans="8:9" s="9" customFormat="1" x14ac:dyDescent="0.25">
      <c r="H676" s="9" t="s">
        <v>700</v>
      </c>
      <c r="I676" s="9">
        <f>COUNTIF(A1:A210,"YM*")</f>
        <v>0</v>
      </c>
    </row>
    <row r="677" spans="8:9" s="9" customFormat="1" x14ac:dyDescent="0.25">
      <c r="H677" s="9" t="s">
        <v>273</v>
      </c>
      <c r="I677" s="9">
        <f>COUNTIF(A1:A210,"YN*")</f>
        <v>0</v>
      </c>
    </row>
    <row r="678" spans="8:9" s="9" customFormat="1" x14ac:dyDescent="0.25">
      <c r="H678" s="9" t="s">
        <v>701</v>
      </c>
      <c r="I678" s="9">
        <f>COUNTIF(A1:A210,"YO*")</f>
        <v>0</v>
      </c>
    </row>
    <row r="679" spans="8:9" s="9" customFormat="1" x14ac:dyDescent="0.25">
      <c r="H679" s="9" t="s">
        <v>702</v>
      </c>
      <c r="I679" s="9">
        <f>COUNTIF(A1:A210,"YP*")</f>
        <v>0</v>
      </c>
    </row>
    <row r="680" spans="8:9" s="9" customFormat="1" x14ac:dyDescent="0.25">
      <c r="H680" s="9" t="s">
        <v>703</v>
      </c>
      <c r="I680" s="9">
        <f>COUNTIF(A1:A210,"YQ*")</f>
        <v>0</v>
      </c>
    </row>
    <row r="681" spans="8:9" s="9" customFormat="1" x14ac:dyDescent="0.25">
      <c r="H681" s="9" t="s">
        <v>704</v>
      </c>
      <c r="I681" s="9">
        <f>COUNTIF(A1:A210,"YR*")</f>
        <v>0</v>
      </c>
    </row>
    <row r="682" spans="8:9" s="9" customFormat="1" x14ac:dyDescent="0.25">
      <c r="H682" s="9" t="s">
        <v>705</v>
      </c>
      <c r="I682" s="9">
        <f>COUNTIF(A1:A210,"YS*")</f>
        <v>0</v>
      </c>
    </row>
    <row r="683" spans="8:9" s="9" customFormat="1" x14ac:dyDescent="0.25">
      <c r="H683" s="9" t="s">
        <v>706</v>
      </c>
      <c r="I683" s="9">
        <f>COUNTIF(A1:A210,"YT*")</f>
        <v>0</v>
      </c>
    </row>
    <row r="684" spans="8:9" s="9" customFormat="1" x14ac:dyDescent="0.25">
      <c r="H684" s="9" t="s">
        <v>707</v>
      </c>
      <c r="I684" s="9">
        <f>COUNTIF(A1:A210,"YU*")</f>
        <v>0</v>
      </c>
    </row>
    <row r="685" spans="8:9" s="9" customFormat="1" x14ac:dyDescent="0.25">
      <c r="H685" s="9" t="s">
        <v>708</v>
      </c>
      <c r="I685" s="9">
        <f>COUNTIF(A1:A210,"YV*")</f>
        <v>0</v>
      </c>
    </row>
    <row r="686" spans="8:9" s="9" customFormat="1" x14ac:dyDescent="0.25">
      <c r="H686" s="9" t="s">
        <v>709</v>
      </c>
      <c r="I686" s="9">
        <f>COUNTIF(A1:A210,"YW*")</f>
        <v>0</v>
      </c>
    </row>
    <row r="687" spans="8:9" s="9" customFormat="1" x14ac:dyDescent="0.25">
      <c r="H687" s="9" t="s">
        <v>710</v>
      </c>
      <c r="I687" s="9">
        <f>COUNTIF(A1:A210,"YX*")</f>
        <v>0</v>
      </c>
    </row>
    <row r="688" spans="8:9" s="9" customFormat="1" x14ac:dyDescent="0.25">
      <c r="H688" s="9" t="s">
        <v>711</v>
      </c>
      <c r="I688" s="9">
        <f>COUNTIF(A1:A210,"YY*")</f>
        <v>0</v>
      </c>
    </row>
    <row r="689" spans="8:9" s="9" customFormat="1" x14ac:dyDescent="0.25">
      <c r="H689" s="9" t="s">
        <v>712</v>
      </c>
      <c r="I689" s="9">
        <f>COUNTIF(A1:A210,"YZ*")</f>
        <v>0</v>
      </c>
    </row>
    <row r="690" spans="8:9" s="9" customFormat="1" x14ac:dyDescent="0.25"/>
    <row r="691" spans="8:9" s="9" customFormat="1" x14ac:dyDescent="0.25">
      <c r="H691" s="9" t="s">
        <v>713</v>
      </c>
      <c r="I691" s="9">
        <f>COUNTIF(A1:A210,"ZA*")</f>
        <v>0</v>
      </c>
    </row>
    <row r="692" spans="8:9" s="9" customFormat="1" x14ac:dyDescent="0.25">
      <c r="H692" s="9" t="s">
        <v>714</v>
      </c>
      <c r="I692" s="9">
        <f>COUNTIF(A1:A210,"ZB*")</f>
        <v>0</v>
      </c>
    </row>
    <row r="693" spans="8:9" s="9" customFormat="1" x14ac:dyDescent="0.25">
      <c r="H693" s="9" t="s">
        <v>715</v>
      </c>
      <c r="I693" s="9">
        <f>COUNTIF(A1:A210,"ZC*")</f>
        <v>0</v>
      </c>
    </row>
    <row r="694" spans="8:9" s="9" customFormat="1" x14ac:dyDescent="0.25">
      <c r="H694" s="9" t="s">
        <v>716</v>
      </c>
      <c r="I694" s="9">
        <f>COUNTIF(A1:A210,"ZD*")</f>
        <v>0</v>
      </c>
    </row>
    <row r="695" spans="8:9" s="9" customFormat="1" x14ac:dyDescent="0.25">
      <c r="H695" s="9" t="s">
        <v>717</v>
      </c>
      <c r="I695" s="9">
        <f>COUNTIF(A1:A210,"ZE*")</f>
        <v>0</v>
      </c>
    </row>
    <row r="696" spans="8:9" s="9" customFormat="1" x14ac:dyDescent="0.25">
      <c r="H696" s="9" t="s">
        <v>718</v>
      </c>
      <c r="I696" s="9">
        <f>COUNTIF(A1:A210,"ZF*")</f>
        <v>0</v>
      </c>
    </row>
    <row r="697" spans="8:9" s="9" customFormat="1" x14ac:dyDescent="0.25">
      <c r="H697" s="9" t="s">
        <v>719</v>
      </c>
      <c r="I697" s="9">
        <f>COUNTIF(A1:A210,"ZG*")</f>
        <v>0</v>
      </c>
    </row>
    <row r="698" spans="8:9" s="9" customFormat="1" x14ac:dyDescent="0.25">
      <c r="H698" s="9" t="s">
        <v>720</v>
      </c>
      <c r="I698" s="9">
        <f>COUNTIF(A1:A210,"ZH*")</f>
        <v>0</v>
      </c>
    </row>
    <row r="699" spans="8:9" s="9" customFormat="1" x14ac:dyDescent="0.25">
      <c r="H699" s="9" t="s">
        <v>721</v>
      </c>
      <c r="I699" s="9">
        <f>COUNTIF(A1:A210,"ZI*")</f>
        <v>0</v>
      </c>
    </row>
    <row r="700" spans="8:9" s="9" customFormat="1" x14ac:dyDescent="0.25">
      <c r="H700" s="9" t="s">
        <v>722</v>
      </c>
      <c r="I700" s="9">
        <f>COUNTIF(A1:A210,"ZJ*")</f>
        <v>0</v>
      </c>
    </row>
    <row r="701" spans="8:9" s="9" customFormat="1" x14ac:dyDescent="0.25">
      <c r="H701" s="9" t="s">
        <v>723</v>
      </c>
      <c r="I701" s="9">
        <f>COUNTIF(A1:A210,"ZK*")</f>
        <v>0</v>
      </c>
    </row>
    <row r="702" spans="8:9" s="9" customFormat="1" x14ac:dyDescent="0.25">
      <c r="H702" s="9" t="s">
        <v>724</v>
      </c>
      <c r="I702" s="9">
        <f>COUNTIF(A1:A210,"ZL*")</f>
        <v>0</v>
      </c>
    </row>
    <row r="703" spans="8:9" s="9" customFormat="1" x14ac:dyDescent="0.25">
      <c r="H703" s="9" t="s">
        <v>725</v>
      </c>
      <c r="I703" s="9">
        <f>COUNTIF(A1:A210,"ZM*")</f>
        <v>0</v>
      </c>
    </row>
    <row r="704" spans="8:9" s="9" customFormat="1" x14ac:dyDescent="0.25">
      <c r="H704" s="9" t="s">
        <v>274</v>
      </c>
      <c r="I704" s="9">
        <f>COUNTIF(A1:A210,"ZN*")</f>
        <v>0</v>
      </c>
    </row>
    <row r="705" spans="8:9" s="9" customFormat="1" x14ac:dyDescent="0.25">
      <c r="H705" s="9" t="s">
        <v>726</v>
      </c>
      <c r="I705" s="9">
        <f>COUNTIF(A1:A210,"ZO*")</f>
        <v>0</v>
      </c>
    </row>
    <row r="706" spans="8:9" s="9" customFormat="1" x14ac:dyDescent="0.25">
      <c r="H706" s="9" t="s">
        <v>727</v>
      </c>
      <c r="I706" s="9">
        <f>COUNTIF(A1:A210,"ZP*")</f>
        <v>0</v>
      </c>
    </row>
    <row r="707" spans="8:9" s="9" customFormat="1" x14ac:dyDescent="0.25">
      <c r="H707" s="9" t="s">
        <v>728</v>
      </c>
      <c r="I707" s="9">
        <f>COUNTIF(A1:A210,"ZQ*")</f>
        <v>0</v>
      </c>
    </row>
    <row r="708" spans="8:9" s="9" customFormat="1" x14ac:dyDescent="0.25">
      <c r="H708" s="9" t="s">
        <v>729</v>
      </c>
      <c r="I708" s="9">
        <f>COUNTIF(A1:A210,"ZR*")</f>
        <v>0</v>
      </c>
    </row>
    <row r="709" spans="8:9" s="9" customFormat="1" x14ac:dyDescent="0.25">
      <c r="H709" s="9" t="s">
        <v>730</v>
      </c>
      <c r="I709" s="9">
        <f>COUNTIF(A1:A210,"ZS*")</f>
        <v>0</v>
      </c>
    </row>
    <row r="710" spans="8:9" s="9" customFormat="1" x14ac:dyDescent="0.25">
      <c r="H710" s="9" t="s">
        <v>731</v>
      </c>
      <c r="I710" s="9">
        <f>COUNTIF(A1:A210,"ZT*")</f>
        <v>0</v>
      </c>
    </row>
    <row r="711" spans="8:9" s="9" customFormat="1" x14ac:dyDescent="0.25">
      <c r="H711" s="9" t="s">
        <v>732</v>
      </c>
      <c r="I711" s="9">
        <f>COUNTIF(A1:A210,"ZU*")</f>
        <v>0</v>
      </c>
    </row>
    <row r="712" spans="8:9" s="9" customFormat="1" x14ac:dyDescent="0.25">
      <c r="H712" s="9" t="s">
        <v>733</v>
      </c>
      <c r="I712" s="9">
        <f>COUNTIF(A1:A210,"ZV*")</f>
        <v>0</v>
      </c>
    </row>
    <row r="713" spans="8:9" s="9" customFormat="1" x14ac:dyDescent="0.25">
      <c r="H713" s="9" t="s">
        <v>734</v>
      </c>
      <c r="I713" s="9">
        <f>COUNTIF(A1:A210,"ZW*")</f>
        <v>0</v>
      </c>
    </row>
    <row r="714" spans="8:9" s="9" customFormat="1" x14ac:dyDescent="0.25">
      <c r="H714" s="9" t="s">
        <v>735</v>
      </c>
      <c r="I714" s="9">
        <f>COUNTIF(A1:A210,"ZX*")</f>
        <v>0</v>
      </c>
    </row>
    <row r="715" spans="8:9" s="9" customFormat="1" x14ac:dyDescent="0.25">
      <c r="H715" s="9" t="s">
        <v>736</v>
      </c>
      <c r="I715" s="9">
        <f>COUNTIF(A1:A210,"ZY*")</f>
        <v>0</v>
      </c>
    </row>
    <row r="716" spans="8:9" s="9" customFormat="1" x14ac:dyDescent="0.25">
      <c r="H716" s="9" t="s">
        <v>737</v>
      </c>
      <c r="I716" s="9">
        <f>COUNTIF(A1:A210,"ZZ*")</f>
        <v>0</v>
      </c>
    </row>
    <row r="717" spans="8:9" s="9" customFormat="1" x14ac:dyDescent="0.25"/>
    <row r="718" spans="8:9" s="9" customFormat="1" x14ac:dyDescent="0.25"/>
    <row r="719" spans="8:9" s="9" customFormat="1" x14ac:dyDescent="0.25"/>
    <row r="720" spans="8:9" s="9" customFormat="1" x14ac:dyDescent="0.25"/>
    <row r="721" s="9" customFormat="1" x14ac:dyDescent="0.25"/>
    <row r="722" s="9" customFormat="1" x14ac:dyDescent="0.25"/>
    <row r="723" s="9" customFormat="1" x14ac:dyDescent="0.25"/>
    <row r="724" s="9" customFormat="1" x14ac:dyDescent="0.25"/>
    <row r="725" s="9" customFormat="1" x14ac:dyDescent="0.25"/>
    <row r="726" s="9" customFormat="1" x14ac:dyDescent="0.25"/>
    <row r="727" s="9" customFormat="1" x14ac:dyDescent="0.25"/>
    <row r="728" s="9" customFormat="1" x14ac:dyDescent="0.25"/>
    <row r="729" s="9" customFormat="1" x14ac:dyDescent="0.25"/>
    <row r="730" s="9" customFormat="1" x14ac:dyDescent="0.25"/>
    <row r="731" s="9" customFormat="1" x14ac:dyDescent="0.25"/>
    <row r="732" s="9" customFormat="1" x14ac:dyDescent="0.25"/>
    <row r="733" s="9" customFormat="1" x14ac:dyDescent="0.25"/>
    <row r="734" s="9" customFormat="1" x14ac:dyDescent="0.25"/>
    <row r="735" s="9" customFormat="1" x14ac:dyDescent="0.25"/>
    <row r="736" s="9" customFormat="1" x14ac:dyDescent="0.25"/>
    <row r="737" s="9" customFormat="1" x14ac:dyDescent="0.25"/>
    <row r="738" s="9" customFormat="1" x14ac:dyDescent="0.25"/>
    <row r="739" s="9" customFormat="1" x14ac:dyDescent="0.25"/>
    <row r="740" s="9" customFormat="1" x14ac:dyDescent="0.25"/>
    <row r="741" s="9" customFormat="1" x14ac:dyDescent="0.25"/>
    <row r="742" s="9" customFormat="1" x14ac:dyDescent="0.25"/>
    <row r="743" s="9" customFormat="1" x14ac:dyDescent="0.25"/>
    <row r="744" s="9" customFormat="1" x14ac:dyDescent="0.25"/>
    <row r="745" s="9" customFormat="1" x14ac:dyDescent="0.25"/>
    <row r="746" s="9" customFormat="1" x14ac:dyDescent="0.25"/>
    <row r="747" s="9" customFormat="1" x14ac:dyDescent="0.25"/>
    <row r="748" s="9" customFormat="1" x14ac:dyDescent="0.25"/>
    <row r="749" s="9" customFormat="1" x14ac:dyDescent="0.25"/>
    <row r="750" s="9" customFormat="1" x14ac:dyDescent="0.25"/>
    <row r="751" s="9" customFormat="1" x14ac:dyDescent="0.25"/>
    <row r="752" s="9" customFormat="1" x14ac:dyDescent="0.25"/>
    <row r="753" s="9" customFormat="1" x14ac:dyDescent="0.25"/>
    <row r="754" s="9" customFormat="1" x14ac:dyDescent="0.25"/>
    <row r="755" s="9" customFormat="1" x14ac:dyDescent="0.25"/>
    <row r="756" s="9" customFormat="1" x14ac:dyDescent="0.25"/>
    <row r="757" s="9" customFormat="1" x14ac:dyDescent="0.25"/>
    <row r="758" s="9" customFormat="1" x14ac:dyDescent="0.25"/>
    <row r="759" s="9" customFormat="1" x14ac:dyDescent="0.25"/>
    <row r="760" s="9" customFormat="1" x14ac:dyDescent="0.25"/>
    <row r="761" s="9" customFormat="1" x14ac:dyDescent="0.25"/>
    <row r="762" s="9" customFormat="1" x14ac:dyDescent="0.25"/>
    <row r="763" s="9" customFormat="1" x14ac:dyDescent="0.25"/>
    <row r="764" s="9" customFormat="1" x14ac:dyDescent="0.25"/>
    <row r="765" s="9" customFormat="1" x14ac:dyDescent="0.25"/>
    <row r="766" s="9" customFormat="1" x14ac:dyDescent="0.25"/>
    <row r="767" s="9" customFormat="1" x14ac:dyDescent="0.25"/>
    <row r="768" s="9" customFormat="1" x14ac:dyDescent="0.25"/>
    <row r="769" s="9" customFormat="1" x14ac:dyDescent="0.25"/>
    <row r="770" s="9" customFormat="1" x14ac:dyDescent="0.25"/>
    <row r="771" s="9" customFormat="1" x14ac:dyDescent="0.25"/>
    <row r="772" s="9" customFormat="1" x14ac:dyDescent="0.25"/>
    <row r="773" s="9" customFormat="1" x14ac:dyDescent="0.25"/>
    <row r="774" s="9" customFormat="1" x14ac:dyDescent="0.25"/>
    <row r="775" s="9" customFormat="1" x14ac:dyDescent="0.25"/>
    <row r="776" s="9" customFormat="1" x14ac:dyDescent="0.25"/>
    <row r="777" s="9" customFormat="1" x14ac:dyDescent="0.25"/>
    <row r="778" s="9" customFormat="1" x14ac:dyDescent="0.25"/>
    <row r="779" s="9" customFormat="1" x14ac:dyDescent="0.25"/>
    <row r="780" s="9" customFormat="1" x14ac:dyDescent="0.25"/>
    <row r="781" s="9" customFormat="1" x14ac:dyDescent="0.25"/>
    <row r="782" s="9" customFormat="1" x14ac:dyDescent="0.25"/>
    <row r="783" s="9" customFormat="1" x14ac:dyDescent="0.25"/>
    <row r="784" s="9" customFormat="1" x14ac:dyDescent="0.25"/>
    <row r="785" s="9" customFormat="1" x14ac:dyDescent="0.25"/>
    <row r="786" s="9" customFormat="1" x14ac:dyDescent="0.25"/>
    <row r="787" s="9" customFormat="1" x14ac:dyDescent="0.25"/>
    <row r="788" s="9" customFormat="1" x14ac:dyDescent="0.25"/>
    <row r="789" s="9" customFormat="1" x14ac:dyDescent="0.25"/>
    <row r="790" s="9" customFormat="1" x14ac:dyDescent="0.25"/>
    <row r="791" s="9" customFormat="1" x14ac:dyDescent="0.25"/>
    <row r="792" s="9" customFormat="1" x14ac:dyDescent="0.25"/>
    <row r="793" s="9" customFormat="1" x14ac:dyDescent="0.25"/>
    <row r="794" s="9" customFormat="1" x14ac:dyDescent="0.25"/>
    <row r="795" s="9" customFormat="1" x14ac:dyDescent="0.25"/>
    <row r="796" s="9" customFormat="1" x14ac:dyDescent="0.25"/>
    <row r="797" s="9" customFormat="1" x14ac:dyDescent="0.25"/>
    <row r="798" s="9" customFormat="1" x14ac:dyDescent="0.25"/>
    <row r="799" s="9" customFormat="1" x14ac:dyDescent="0.25"/>
    <row r="800" s="9" customFormat="1" x14ac:dyDescent="0.25"/>
    <row r="801" s="9" customFormat="1" x14ac:dyDescent="0.25"/>
    <row r="802" s="9" customFormat="1" x14ac:dyDescent="0.25"/>
    <row r="803" s="9" customFormat="1" x14ac:dyDescent="0.25"/>
    <row r="804" s="9" customFormat="1" x14ac:dyDescent="0.25"/>
    <row r="805" s="9" customFormat="1" x14ac:dyDescent="0.25"/>
    <row r="806" s="9" customFormat="1" x14ac:dyDescent="0.25"/>
    <row r="807" s="9" customFormat="1" x14ac:dyDescent="0.25"/>
    <row r="808" s="9" customFormat="1" x14ac:dyDescent="0.25"/>
    <row r="809" s="9" customFormat="1" x14ac:dyDescent="0.25"/>
    <row r="810" s="9" customFormat="1" x14ac:dyDescent="0.25"/>
    <row r="811" s="9" customFormat="1" x14ac:dyDescent="0.25"/>
    <row r="812" s="9" customFormat="1" x14ac:dyDescent="0.25"/>
    <row r="813" s="9" customFormat="1" x14ac:dyDescent="0.25"/>
    <row r="814" s="9" customFormat="1" x14ac:dyDescent="0.25"/>
    <row r="815" s="9" customFormat="1" x14ac:dyDescent="0.25"/>
    <row r="816" s="9" customFormat="1" x14ac:dyDescent="0.25"/>
    <row r="817" s="9" customFormat="1" x14ac:dyDescent="0.25"/>
    <row r="818" s="9" customFormat="1" x14ac:dyDescent="0.25"/>
    <row r="819" s="9" customFormat="1" x14ac:dyDescent="0.25"/>
    <row r="820" s="9" customFormat="1" x14ac:dyDescent="0.25"/>
    <row r="821" s="9" customFormat="1" x14ac:dyDescent="0.25"/>
    <row r="822" s="9" customFormat="1" x14ac:dyDescent="0.25"/>
    <row r="823" s="9" customFormat="1" x14ac:dyDescent="0.25"/>
    <row r="824" s="9" customFormat="1" x14ac:dyDescent="0.25"/>
    <row r="825" s="9" customFormat="1" x14ac:dyDescent="0.25"/>
    <row r="826" s="9" customFormat="1" x14ac:dyDescent="0.25"/>
    <row r="827" s="9" customFormat="1" x14ac:dyDescent="0.25"/>
    <row r="828" s="9" customFormat="1" x14ac:dyDescent="0.25"/>
    <row r="829" s="9" customFormat="1" x14ac:dyDescent="0.25"/>
    <row r="830" s="9" customFormat="1" x14ac:dyDescent="0.25"/>
    <row r="831" s="9" customFormat="1" x14ac:dyDescent="0.25"/>
    <row r="832" s="9" customFormat="1" x14ac:dyDescent="0.25"/>
    <row r="833" s="9" customFormat="1" x14ac:dyDescent="0.25"/>
    <row r="834" s="9" customFormat="1" x14ac:dyDescent="0.25"/>
    <row r="835" s="9" customFormat="1" x14ac:dyDescent="0.25"/>
    <row r="836" s="9" customFormat="1" x14ac:dyDescent="0.25"/>
    <row r="837" s="9" customFormat="1" x14ac:dyDescent="0.25"/>
    <row r="838" s="9" customFormat="1" x14ac:dyDescent="0.25"/>
    <row r="839" s="9" customFormat="1" x14ac:dyDescent="0.25"/>
    <row r="840" s="9" customFormat="1" x14ac:dyDescent="0.25"/>
    <row r="841" s="9" customFormat="1" x14ac:dyDescent="0.25"/>
    <row r="842" s="9" customFormat="1" x14ac:dyDescent="0.25"/>
    <row r="843" s="9" customFormat="1" x14ac:dyDescent="0.25"/>
    <row r="844" s="9" customFormat="1" x14ac:dyDescent="0.25"/>
    <row r="845" s="9" customFormat="1" x14ac:dyDescent="0.25"/>
    <row r="846" s="9" customFormat="1" x14ac:dyDescent="0.25"/>
    <row r="847" s="9" customFormat="1" x14ac:dyDescent="0.25"/>
    <row r="848" s="9" customFormat="1" x14ac:dyDescent="0.25"/>
    <row r="849" s="9" customFormat="1" x14ac:dyDescent="0.25"/>
    <row r="850" s="9" customFormat="1" x14ac:dyDescent="0.25"/>
    <row r="851" s="9" customFormat="1" x14ac:dyDescent="0.25"/>
    <row r="852" s="9" customFormat="1" x14ac:dyDescent="0.25"/>
    <row r="853" s="9" customFormat="1" x14ac:dyDescent="0.25"/>
    <row r="854" s="9" customFormat="1" x14ac:dyDescent="0.25"/>
    <row r="855" s="9" customFormat="1" x14ac:dyDescent="0.25"/>
    <row r="856" s="9" customFormat="1" x14ac:dyDescent="0.25"/>
    <row r="857" s="9" customFormat="1" x14ac:dyDescent="0.25"/>
    <row r="858" s="9" customFormat="1" x14ac:dyDescent="0.25"/>
    <row r="859" s="9" customFormat="1" x14ac:dyDescent="0.25"/>
    <row r="860" s="9" customFormat="1" x14ac:dyDescent="0.25"/>
    <row r="861" s="9" customFormat="1" x14ac:dyDescent="0.25"/>
    <row r="862" s="9" customFormat="1" x14ac:dyDescent="0.25"/>
    <row r="863" s="9" customFormat="1" x14ac:dyDescent="0.25"/>
    <row r="864" s="9" customFormat="1" x14ac:dyDescent="0.25"/>
    <row r="865" s="9" customFormat="1" x14ac:dyDescent="0.25"/>
    <row r="866" s="9" customFormat="1" x14ac:dyDescent="0.25"/>
    <row r="867" s="9" customFormat="1" x14ac:dyDescent="0.25"/>
    <row r="868" s="9" customFormat="1" x14ac:dyDescent="0.25"/>
    <row r="869" s="9" customFormat="1" x14ac:dyDescent="0.25"/>
    <row r="870" s="9" customFormat="1" x14ac:dyDescent="0.25"/>
    <row r="871" s="9" customFormat="1" x14ac:dyDescent="0.25"/>
    <row r="872" s="9" customFormat="1" x14ac:dyDescent="0.25"/>
    <row r="873" s="9" customFormat="1" x14ac:dyDescent="0.25"/>
    <row r="874" s="9" customFormat="1" x14ac:dyDescent="0.25"/>
    <row r="875" s="9" customFormat="1" x14ac:dyDescent="0.25"/>
    <row r="876" s="9" customFormat="1" x14ac:dyDescent="0.25"/>
    <row r="877" s="9" customFormat="1" x14ac:dyDescent="0.25"/>
    <row r="878" s="9" customFormat="1" x14ac:dyDescent="0.25"/>
    <row r="879" s="9" customFormat="1" x14ac:dyDescent="0.25"/>
    <row r="880" s="9" customFormat="1" x14ac:dyDescent="0.25"/>
    <row r="881" s="9" customFormat="1" x14ac:dyDescent="0.25"/>
    <row r="882" s="9" customFormat="1" x14ac:dyDescent="0.25"/>
    <row r="883" s="9" customFormat="1" x14ac:dyDescent="0.25"/>
    <row r="884" s="9" customFormat="1" x14ac:dyDescent="0.25"/>
    <row r="885" s="9" customFormat="1" x14ac:dyDescent="0.25"/>
    <row r="886" s="9" customFormat="1" x14ac:dyDescent="0.25"/>
    <row r="887" s="9" customFormat="1" x14ac:dyDescent="0.25"/>
    <row r="888" s="9" customFormat="1" x14ac:dyDescent="0.25"/>
    <row r="889" s="9" customFormat="1" x14ac:dyDescent="0.25"/>
    <row r="890" s="9" customFormat="1" x14ac:dyDescent="0.25"/>
    <row r="891" s="9" customFormat="1" x14ac:dyDescent="0.25"/>
    <row r="892" s="9" customFormat="1" x14ac:dyDescent="0.25"/>
    <row r="893" s="9" customFormat="1" x14ac:dyDescent="0.25"/>
    <row r="894" s="9" customFormat="1" x14ac:dyDescent="0.25"/>
    <row r="895" s="9" customFormat="1" x14ac:dyDescent="0.25"/>
    <row r="896" s="9" customFormat="1" x14ac:dyDescent="0.25"/>
    <row r="897" s="9" customFormat="1" x14ac:dyDescent="0.25"/>
    <row r="898" s="9" customFormat="1" x14ac:dyDescent="0.25"/>
    <row r="899" s="9" customFormat="1" x14ac:dyDescent="0.25"/>
    <row r="900" s="9" customFormat="1" x14ac:dyDescent="0.25"/>
    <row r="901" s="9" customFormat="1" x14ac:dyDescent="0.25"/>
    <row r="902" s="9" customFormat="1" x14ac:dyDescent="0.25"/>
    <row r="903" s="9" customFormat="1" x14ac:dyDescent="0.25"/>
    <row r="904" s="9" customFormat="1" x14ac:dyDescent="0.25"/>
    <row r="905" s="9" customFormat="1" x14ac:dyDescent="0.25"/>
    <row r="906" s="9" customFormat="1" x14ac:dyDescent="0.25"/>
    <row r="907" s="9" customFormat="1" x14ac:dyDescent="0.25"/>
    <row r="908" s="9" customFormat="1" x14ac:dyDescent="0.25"/>
    <row r="909" s="9" customFormat="1" x14ac:dyDescent="0.25"/>
    <row r="910" s="9" customFormat="1" x14ac:dyDescent="0.25"/>
    <row r="911" s="9" customFormat="1" x14ac:dyDescent="0.25"/>
    <row r="912" s="9" customFormat="1" x14ac:dyDescent="0.25"/>
    <row r="913" s="9" customFormat="1" x14ac:dyDescent="0.25"/>
    <row r="914" s="9" customFormat="1" x14ac:dyDescent="0.25"/>
    <row r="915" s="9" customFormat="1" x14ac:dyDescent="0.25"/>
    <row r="916" s="9" customFormat="1" x14ac:dyDescent="0.25"/>
    <row r="917" s="9" customFormat="1" x14ac:dyDescent="0.25"/>
    <row r="918" s="9" customFormat="1" x14ac:dyDescent="0.25"/>
    <row r="919" s="9" customFormat="1" x14ac:dyDescent="0.25"/>
    <row r="920" s="9" customFormat="1" x14ac:dyDescent="0.25"/>
    <row r="921" s="9" customFormat="1" x14ac:dyDescent="0.25"/>
    <row r="922" s="9" customFormat="1" x14ac:dyDescent="0.25"/>
    <row r="923" s="9" customFormat="1" x14ac:dyDescent="0.25"/>
    <row r="924" s="9" customFormat="1" x14ac:dyDescent="0.25"/>
    <row r="925" s="9" customFormat="1" x14ac:dyDescent="0.25"/>
    <row r="926" s="9" customFormat="1" x14ac:dyDescent="0.25"/>
    <row r="927" s="9" customFormat="1" x14ac:dyDescent="0.25"/>
    <row r="928" s="9" customFormat="1" x14ac:dyDescent="0.25"/>
    <row r="929" s="9" customFormat="1" x14ac:dyDescent="0.25"/>
    <row r="930" s="9" customFormat="1" x14ac:dyDescent="0.25"/>
    <row r="931" s="9" customFormat="1" x14ac:dyDescent="0.25"/>
    <row r="932" s="9" customFormat="1" x14ac:dyDescent="0.25"/>
    <row r="933" s="9" customFormat="1" x14ac:dyDescent="0.25"/>
    <row r="934" s="9" customFormat="1" x14ac:dyDescent="0.25"/>
    <row r="935" s="9" customFormat="1" x14ac:dyDescent="0.25"/>
    <row r="936" s="9" customFormat="1" x14ac:dyDescent="0.25"/>
    <row r="937" s="9" customFormat="1" x14ac:dyDescent="0.25"/>
    <row r="938" s="9" customFormat="1" x14ac:dyDescent="0.25"/>
    <row r="939" s="9" customFormat="1" x14ac:dyDescent="0.25"/>
    <row r="940" s="9" customFormat="1" x14ac:dyDescent="0.25"/>
    <row r="941" s="9" customFormat="1" x14ac:dyDescent="0.25"/>
    <row r="942" s="9" customFormat="1" x14ac:dyDescent="0.25"/>
    <row r="943" s="9" customFormat="1" x14ac:dyDescent="0.25"/>
    <row r="944" s="9" customFormat="1" x14ac:dyDescent="0.25"/>
    <row r="945" s="9" customFormat="1" x14ac:dyDescent="0.25"/>
    <row r="946" s="9" customFormat="1" x14ac:dyDescent="0.25"/>
    <row r="947" s="9" customFormat="1" x14ac:dyDescent="0.25"/>
    <row r="948" s="9" customFormat="1" x14ac:dyDescent="0.25"/>
    <row r="949" s="9" customFormat="1" x14ac:dyDescent="0.25"/>
    <row r="950" s="9" customFormat="1" x14ac:dyDescent="0.25"/>
    <row r="951" s="9" customFormat="1" x14ac:dyDescent="0.25"/>
    <row r="952" s="9" customFormat="1" x14ac:dyDescent="0.25"/>
    <row r="953" s="9" customFormat="1" x14ac:dyDescent="0.25"/>
    <row r="954" s="9" customFormat="1" x14ac:dyDescent="0.25"/>
    <row r="955" s="9" customFormat="1" x14ac:dyDescent="0.25"/>
    <row r="956" s="9" customFormat="1" x14ac:dyDescent="0.25"/>
    <row r="957" s="9" customFormat="1" x14ac:dyDescent="0.25"/>
    <row r="958" s="9" customFormat="1" x14ac:dyDescent="0.25"/>
    <row r="959" s="9" customFormat="1" x14ac:dyDescent="0.25"/>
    <row r="960" s="9" customFormat="1" x14ac:dyDescent="0.25"/>
    <row r="961" s="9" customFormat="1" x14ac:dyDescent="0.25"/>
    <row r="962" s="9" customFormat="1" x14ac:dyDescent="0.25"/>
    <row r="963" s="9" customFormat="1" x14ac:dyDescent="0.25"/>
    <row r="964" s="9" customFormat="1" x14ac:dyDescent="0.25"/>
    <row r="965" s="9" customFormat="1" x14ac:dyDescent="0.25"/>
    <row r="966" s="9" customFormat="1" x14ac:dyDescent="0.25"/>
    <row r="967" s="9" customFormat="1" x14ac:dyDescent="0.25"/>
    <row r="968" s="9" customFormat="1" x14ac:dyDescent="0.25"/>
    <row r="969" s="9" customFormat="1" x14ac:dyDescent="0.25"/>
    <row r="970" s="9" customFormat="1" x14ac:dyDescent="0.25"/>
    <row r="971" s="9" customFormat="1" x14ac:dyDescent="0.25"/>
    <row r="972" s="9" customFormat="1" x14ac:dyDescent="0.25"/>
    <row r="973" s="9" customFormat="1" x14ac:dyDescent="0.25"/>
    <row r="974" s="9" customFormat="1" x14ac:dyDescent="0.25"/>
    <row r="975" s="9" customFormat="1" x14ac:dyDescent="0.25"/>
    <row r="976" s="9" customFormat="1" x14ac:dyDescent="0.25"/>
    <row r="977" s="9" customFormat="1" x14ac:dyDescent="0.25"/>
    <row r="978" s="9" customFormat="1" x14ac:dyDescent="0.25"/>
    <row r="979" s="9" customFormat="1" x14ac:dyDescent="0.25"/>
    <row r="980" s="9" customFormat="1" x14ac:dyDescent="0.25"/>
    <row r="981" s="9" customFormat="1" x14ac:dyDescent="0.25"/>
    <row r="982" s="9" customFormat="1" x14ac:dyDescent="0.25"/>
    <row r="983" s="9" customFormat="1" x14ac:dyDescent="0.25"/>
    <row r="984" s="9" customFormat="1" x14ac:dyDescent="0.25"/>
    <row r="985" s="9" customFormat="1" x14ac:dyDescent="0.25"/>
    <row r="986" s="9" customFormat="1" x14ac:dyDescent="0.25"/>
    <row r="987" s="9" customFormat="1" x14ac:dyDescent="0.25"/>
    <row r="988" s="9" customFormat="1" x14ac:dyDescent="0.25"/>
    <row r="989" s="9" customFormat="1" x14ac:dyDescent="0.25"/>
    <row r="990" s="9" customFormat="1" x14ac:dyDescent="0.25"/>
    <row r="991" s="9" customFormat="1" x14ac:dyDescent="0.25"/>
    <row r="992" s="9" customFormat="1" x14ac:dyDescent="0.25"/>
    <row r="993" s="9" customFormat="1" x14ac:dyDescent="0.25"/>
    <row r="994" s="9" customFormat="1" x14ac:dyDescent="0.25"/>
    <row r="995" s="9" customFormat="1" x14ac:dyDescent="0.25"/>
    <row r="996" s="9" customFormat="1" x14ac:dyDescent="0.25"/>
    <row r="997" s="9" customFormat="1" x14ac:dyDescent="0.25"/>
    <row r="998" s="9" customFormat="1" x14ac:dyDescent="0.25"/>
    <row r="999" s="9" customFormat="1" x14ac:dyDescent="0.25"/>
    <row r="1000" s="9" customFormat="1" x14ac:dyDescent="0.25"/>
    <row r="1001" s="9" customFormat="1" x14ac:dyDescent="0.25"/>
    <row r="1002" s="9" customFormat="1" x14ac:dyDescent="0.25"/>
    <row r="1003" s="9" customFormat="1" x14ac:dyDescent="0.25"/>
    <row r="1004" s="9" customFormat="1" x14ac:dyDescent="0.25"/>
    <row r="1005" s="9" customFormat="1" x14ac:dyDescent="0.25"/>
    <row r="1006" s="9" customFormat="1" x14ac:dyDescent="0.25"/>
    <row r="1007" s="9" customFormat="1" x14ac:dyDescent="0.25"/>
    <row r="1008" s="9" customFormat="1" x14ac:dyDescent="0.25"/>
    <row r="1009" s="9" customFormat="1" x14ac:dyDescent="0.25"/>
    <row r="1010" s="9" customFormat="1" x14ac:dyDescent="0.25"/>
    <row r="1011" s="9" customFormat="1" x14ac:dyDescent="0.25"/>
    <row r="1012" s="9" customFormat="1" x14ac:dyDescent="0.25"/>
    <row r="1013" s="9" customFormat="1" x14ac:dyDescent="0.25"/>
    <row r="1014" s="9" customFormat="1" x14ac:dyDescent="0.25"/>
    <row r="1015" s="9" customFormat="1" x14ac:dyDescent="0.25"/>
    <row r="1016" s="9" customFormat="1" x14ac:dyDescent="0.25"/>
    <row r="1017" s="9" customFormat="1" x14ac:dyDescent="0.25"/>
    <row r="1018" s="9" customFormat="1" x14ac:dyDescent="0.25"/>
    <row r="1019" s="9" customFormat="1" x14ac:dyDescent="0.25"/>
    <row r="1020" s="9" customFormat="1" x14ac:dyDescent="0.25"/>
    <row r="1021" s="9" customFormat="1" x14ac:dyDescent="0.25"/>
    <row r="1022" s="9" customFormat="1" x14ac:dyDescent="0.25"/>
    <row r="1023" s="9" customFormat="1" x14ac:dyDescent="0.25"/>
    <row r="1422" spans="6:7" x14ac:dyDescent="0.25">
      <c r="F1422" s="1" t="s">
        <v>37</v>
      </c>
      <c r="G1422" s="1">
        <f>COUNTIF(A1:A210,"C*")</f>
        <v>7</v>
      </c>
    </row>
    <row r="2125" spans="6:7" x14ac:dyDescent="0.25">
      <c r="F2125" s="1" t="s">
        <v>38</v>
      </c>
      <c r="G2125" s="1">
        <f>COUNTIF(A1:A210,"D*")</f>
        <v>28</v>
      </c>
    </row>
    <row r="2828" spans="6:7" x14ac:dyDescent="0.25">
      <c r="F2828" s="1" t="s">
        <v>39</v>
      </c>
      <c r="G2828" s="1">
        <f>COUNTIF(A1:A210,"E*")</f>
        <v>0</v>
      </c>
    </row>
    <row r="3531" spans="6:7" x14ac:dyDescent="0.25">
      <c r="F3531" s="1" t="s">
        <v>40</v>
      </c>
      <c r="G3531" s="1">
        <f>COUNTIF(A1:A210,"F*")</f>
        <v>0</v>
      </c>
    </row>
    <row r="4234" spans="6:7" x14ac:dyDescent="0.25">
      <c r="F4234" s="1" t="s">
        <v>41</v>
      </c>
      <c r="G4234" s="1">
        <f>COUNTIF(A1:A210,"G*")</f>
        <v>14</v>
      </c>
    </row>
    <row r="4937" spans="6:7" x14ac:dyDescent="0.25">
      <c r="F4937" s="1" t="s">
        <v>42</v>
      </c>
      <c r="G4937" s="1">
        <f>COUNTIF(A1:A210,"H*")</f>
        <v>42</v>
      </c>
    </row>
    <row r="5640" spans="6:7" x14ac:dyDescent="0.25">
      <c r="F5640" s="1" t="s">
        <v>43</v>
      </c>
      <c r="G5640" s="1">
        <f>COUNTIF(A1:A210,"I*")</f>
        <v>0</v>
      </c>
    </row>
    <row r="6343" spans="6:7" x14ac:dyDescent="0.25">
      <c r="F6343" s="1" t="s">
        <v>44</v>
      </c>
      <c r="G6343" s="1">
        <f>COUNTIF(A1:A210,"J*")</f>
        <v>7</v>
      </c>
    </row>
    <row r="7046" spans="6:7" x14ac:dyDescent="0.25">
      <c r="F7046" s="1" t="s">
        <v>45</v>
      </c>
      <c r="G7046" s="1">
        <f>COUNTIF(A1:A210,"K*")</f>
        <v>0</v>
      </c>
    </row>
    <row r="7749" spans="6:7" x14ac:dyDescent="0.25">
      <c r="F7749" s="1" t="s">
        <v>46</v>
      </c>
      <c r="G7749" s="1">
        <f>COUNTIF(A1:A210,"L*")</f>
        <v>7</v>
      </c>
    </row>
    <row r="8452" spans="6:7" x14ac:dyDescent="0.25">
      <c r="F8452" s="1" t="s">
        <v>47</v>
      </c>
      <c r="G8452" s="1">
        <f>COUNTIF(A1:A210,"M*")</f>
        <v>7</v>
      </c>
    </row>
    <row r="9155" spans="6:7" x14ac:dyDescent="0.25">
      <c r="F9155" s="1" t="s">
        <v>48</v>
      </c>
      <c r="G9155" s="1">
        <f>COUNTIF(A1:A210,"N*")</f>
        <v>14</v>
      </c>
    </row>
    <row r="9858" spans="6:7" x14ac:dyDescent="0.25">
      <c r="F9858" s="1" t="s">
        <v>49</v>
      </c>
      <c r="G9858" s="1">
        <f>COUNTIF(A1:A210,"O*")</f>
        <v>0</v>
      </c>
    </row>
    <row r="10561" spans="6:7" x14ac:dyDescent="0.25">
      <c r="F10561" s="1" t="s">
        <v>50</v>
      </c>
      <c r="G10561" s="1">
        <f>COUNTIF(A1:A210,"P*")</f>
        <v>0</v>
      </c>
    </row>
    <row r="11264" spans="6:7" x14ac:dyDescent="0.25">
      <c r="F11264" s="1" t="s">
        <v>51</v>
      </c>
      <c r="G11264" s="1">
        <f>COUNTIF(A1:A210,"Q*")</f>
        <v>0</v>
      </c>
    </row>
    <row r="11967" spans="6:7" x14ac:dyDescent="0.25">
      <c r="F11967" s="1" t="s">
        <v>52</v>
      </c>
      <c r="G11967" s="1">
        <f>COUNTIF(A1:A210,"R*")</f>
        <v>7</v>
      </c>
    </row>
    <row r="12670" spans="6:7" x14ac:dyDescent="0.25">
      <c r="F12670" s="1" t="s">
        <v>53</v>
      </c>
      <c r="G12670" s="1">
        <f>COUNTIF(A1:A210,"S*")</f>
        <v>28</v>
      </c>
    </row>
    <row r="13373" spans="6:7" x14ac:dyDescent="0.25">
      <c r="F13373" s="1" t="s">
        <v>54</v>
      </c>
      <c r="G13373" s="1">
        <f>COUNTIF(A1:A210,"T*")</f>
        <v>21</v>
      </c>
    </row>
    <row r="14076" spans="6:7" x14ac:dyDescent="0.25">
      <c r="F14076" s="1" t="s">
        <v>55</v>
      </c>
      <c r="G14076" s="1">
        <f>COUNTIF(A1:A210,"U*")</f>
        <v>0</v>
      </c>
    </row>
    <row r="14779" spans="6:7" x14ac:dyDescent="0.25">
      <c r="F14779" s="1" t="s">
        <v>56</v>
      </c>
      <c r="G14779" s="1">
        <f>COUNTIF(A1:A210,"V*")</f>
        <v>0</v>
      </c>
    </row>
    <row r="15482" spans="6:7" x14ac:dyDescent="0.25">
      <c r="F15482" s="1" t="s">
        <v>57</v>
      </c>
      <c r="G15482" s="1">
        <f>COUNTIF(A1:A210,"W*")</f>
        <v>0</v>
      </c>
    </row>
    <row r="16185" spans="6:7" x14ac:dyDescent="0.25">
      <c r="F16185" s="1" t="s">
        <v>58</v>
      </c>
      <c r="G16185" s="1">
        <f>COUNTIF(A1:A210,"X*")</f>
        <v>0</v>
      </c>
    </row>
    <row r="16888" spans="6:7" x14ac:dyDescent="0.25">
      <c r="F16888" s="1" t="s">
        <v>59</v>
      </c>
      <c r="G16888" s="1">
        <f>COUNTIF(A1:A210,"Y*")</f>
        <v>0</v>
      </c>
    </row>
    <row r="17591" spans="6:7" x14ac:dyDescent="0.25">
      <c r="F17591" s="1" t="s">
        <v>60</v>
      </c>
      <c r="G17591" s="1">
        <f>COUNTIF(A1:A210,"Z*")</f>
        <v>0</v>
      </c>
    </row>
    <row r="18295" spans="6:7" x14ac:dyDescent="0.25">
      <c r="F18295" s="1" t="s">
        <v>36</v>
      </c>
      <c r="G18295" s="1">
        <f>COUNTIF(A1:A210,"B*")</f>
        <v>21</v>
      </c>
    </row>
  </sheetData>
  <autoFilter ref="A1:A18295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usagers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Frédérick Mur</dc:creator>
  <cp:lastModifiedBy>Frédérick Mur</cp:lastModifiedBy>
  <dcterms:created xsi:type="dcterms:W3CDTF">2022-11-20T10:38:06Z</dcterms:created>
  <dcterms:modified xsi:type="dcterms:W3CDTF">2022-11-21T21:38:06Z</dcterms:modified>
</cp:coreProperties>
</file>